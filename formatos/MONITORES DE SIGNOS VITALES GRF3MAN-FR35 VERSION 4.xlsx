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029"/>
  <workbookPr/>
  <mc:AlternateContent xmlns:mc="http://schemas.openxmlformats.org/markup-compatibility/2006">
    <mc:Choice Requires="x15">
      <x15ac:absPath xmlns:x15ac="http://schemas.microsoft.com/office/spreadsheetml/2010/11/ac" url="C:\Users\USUARIO\Desktop\FORMATOS PREVENTIVOS HUSJ\"/>
    </mc:Choice>
  </mc:AlternateContent>
  <xr:revisionPtr revIDLastSave="0" documentId="13_ncr:1_{1FE670CB-9153-4548-9ED8-50E97E67E70A}" xr6:coauthVersionLast="47" xr6:coauthVersionMax="47" xr10:uidLastSave="{00000000-0000-0000-0000-000000000000}"/>
  <bookViews>
    <workbookView xWindow="-120" yWindow="-120" windowWidth="20730" windowHeight="11040" activeTab="2" xr2:uid="{00000000-000D-0000-FFFF-FFFF00000000}"/>
  </bookViews>
  <sheets>
    <sheet name="BÚSQUEDA" sheetId="4" r:id="rId1"/>
    <sheet name="MONITORES" sheetId="3" r:id="rId2"/>
    <sheet name="FORMATO" sheetId="1" r:id="rId3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" i="4" l="1" a="1"/>
  <c r="B4" i="4" s="1"/>
  <c r="E8" i="1" s="1"/>
  <c r="B9" i="4" a="1"/>
  <c r="B9" i="4" s="1"/>
  <c r="S8" i="1" s="1"/>
  <c r="B8" i="4" a="1"/>
  <c r="B8" i="4" s="1"/>
  <c r="S50" i="1" s="1"/>
  <c r="B7" i="4" a="1"/>
  <c r="B7" i="4" s="1"/>
  <c r="E50" i="1" s="1"/>
  <c r="B6" i="4" a="1"/>
  <c r="B6" i="4" s="1"/>
  <c r="S6" i="1" s="1"/>
  <c r="B5" i="4" a="1"/>
  <c r="B5" i="4" s="1"/>
  <c r="E6" i="1" s="1"/>
  <c r="J11" i="3"/>
  <c r="J10" i="3"/>
  <c r="J9" i="3"/>
  <c r="J8" i="3"/>
  <c r="J7" i="3"/>
  <c r="J6" i="3"/>
  <c r="E7" i="1" l="1"/>
  <c r="E49" i="1"/>
  <c r="E51" i="1"/>
  <c r="S49" i="1"/>
  <c r="S51" i="1"/>
  <c r="S7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<sst xmlns="http://schemas.openxmlformats.org/spreadsheetml/2006/main" count="1438" uniqueCount="496">
  <si>
    <t>EMPRESA SOCIAL DEL ESTADO 
HOSPITAL UNIVERSITARIO SAN JORGE DE PEREIRA</t>
  </si>
  <si>
    <t>FECHA</t>
  </si>
  <si>
    <t>C</t>
  </si>
  <si>
    <t>NC</t>
  </si>
  <si>
    <t>NA</t>
  </si>
  <si>
    <t>ACTIVIDADES REALIZADAS</t>
  </si>
  <si>
    <t>SEGURIDAD ELECTRICA</t>
  </si>
  <si>
    <t>VALOR</t>
  </si>
  <si>
    <t xml:space="preserve">Red eléctrica L1-L2               
</t>
  </si>
  <si>
    <t>Red eléctrica L1-gnd</t>
  </si>
  <si>
    <t>Red eléctrica L2-gnd</t>
  </si>
  <si>
    <t>Corriente de Fuga a chasis EBP Normal (≤ 100 µA)</t>
  </si>
  <si>
    <t>Corriente de Fuga a chasis EBP Neutro abierto (≤ 500 µA)</t>
  </si>
  <si>
    <t>Corriente de Fuga a chasis EBP Tierra abierta (≤ 500 µA)</t>
  </si>
  <si>
    <t>OBSERVACIONES</t>
  </si>
  <si>
    <t>TABLA DE CONVENCIONES</t>
  </si>
  <si>
    <t>NO CUMPLE</t>
  </si>
  <si>
    <t>CUMPLE</t>
  </si>
  <si>
    <t>NO APLICA</t>
  </si>
  <si>
    <t>INSPECCIÓN FÍSICA</t>
  </si>
  <si>
    <t>ALIMENTACIÓN</t>
  </si>
  <si>
    <t>FUNCIONAMIENTO</t>
  </si>
  <si>
    <t>PANTALLA</t>
  </si>
  <si>
    <t>ALARMAS</t>
  </si>
  <si>
    <t>Asegúrese de que el equipo se enuentre limpio, sin humedad, sin objetos extraños y carcasa en buen estado.</t>
  </si>
  <si>
    <t>Verifique que los rotulos y etiquetas se encuentren en buen estado y legibles.</t>
  </si>
  <si>
    <t>Limpieza del equipo</t>
  </si>
  <si>
    <t>Cable AC</t>
  </si>
  <si>
    <t>Enchufe/ receptáculo</t>
  </si>
  <si>
    <t>Contacto entre la toma de entrada del instrumento y el conector del cable de conexión</t>
  </si>
  <si>
    <t>Interruptores / Swiches</t>
  </si>
  <si>
    <t>Protecciones / Fusibles</t>
  </si>
  <si>
    <t>Estado y funcionamiento de la batería</t>
  </si>
  <si>
    <t>Autocomprobación de encendido</t>
  </si>
  <si>
    <t>Fecha y hora correctas</t>
  </si>
  <si>
    <t>Verificacion de estado de los modulos multiparametros CO, BIS, PICCO (Anclaje, pilotos, contactos y conectores)</t>
  </si>
  <si>
    <t>Estado y funcionamiento de ECG (Cable troncal, latiguillos)</t>
  </si>
  <si>
    <t>Estado y funcionamiento de GA</t>
  </si>
  <si>
    <t>Estado y funcionamiento de ICG</t>
  </si>
  <si>
    <t>Estado y funcionamiento de CO2</t>
  </si>
  <si>
    <t>Estado y funcionamiento de RM (Mecanica respiratoria)</t>
  </si>
  <si>
    <t>Estado y funcionamiento  de NIBP (Manguera, brazalete, conectores, acoples y fugas)</t>
  </si>
  <si>
    <t>Estado y funcionamiento de SPO2 (Sensor y extensión)</t>
  </si>
  <si>
    <t>Calibracion de parametros desde el menu según corresponda</t>
  </si>
  <si>
    <t>Estado y funcionamiento de IBP (Cable)</t>
  </si>
  <si>
    <t>Estado y funcionamiento de la temperaura (Sensor )</t>
  </si>
  <si>
    <t>Funcionamiento de la impresora</t>
  </si>
  <si>
    <t>Estado de la pantalla y touch screen del equipo</t>
  </si>
  <si>
    <t>Calibracion de touchscreen</t>
  </si>
  <si>
    <t>Configuracion de brillo</t>
  </si>
  <si>
    <t>Configuración de control de visualización</t>
  </si>
  <si>
    <t>Indicadores luminosos</t>
  </si>
  <si>
    <t>Señales audibles</t>
  </si>
  <si>
    <t>Resistencia cable de poder EBP (≤ 0,2 Ω)</t>
  </si>
  <si>
    <t>Corriente de fuga a tierra Neutro abierto (≤ 1000 µA)</t>
  </si>
  <si>
    <t>Corriente de fuga a tierra Normal (≤ 500 µA)</t>
  </si>
  <si>
    <t>LISTA DE CHEQUEO MANTENIMIENTO PREVENTIVO MONITORES 
DE SIGNOS VITALES, PULSOXIMETROS Y ELECTROCARDIOGRAFOS</t>
  </si>
  <si>
    <t>EQUIPO</t>
  </si>
  <si>
    <t>MODELO</t>
  </si>
  <si>
    <t>ACTIVO FIJO</t>
  </si>
  <si>
    <t>MARCA</t>
  </si>
  <si>
    <t>SERIE</t>
  </si>
  <si>
    <t>UBICACIÓN</t>
  </si>
  <si>
    <r>
      <t>CÓDIGO:</t>
    </r>
    <r>
      <rPr>
        <sz val="10"/>
        <color theme="1"/>
        <rFont val="Arial"/>
        <family val="2"/>
      </rPr>
      <t xml:space="preserve"> GRF3MAN-FR35</t>
    </r>
    <r>
      <rPr>
        <b/>
        <sz val="10"/>
        <color theme="1"/>
        <rFont val="Arial"/>
        <family val="2"/>
      </rPr>
      <t xml:space="preserve">
VERSIÓN: </t>
    </r>
    <r>
      <rPr>
        <sz val="10"/>
        <color theme="1"/>
        <rFont val="Arial"/>
        <family val="2"/>
      </rPr>
      <t>4.0</t>
    </r>
    <r>
      <rPr>
        <b/>
        <sz val="10"/>
        <color theme="1"/>
        <rFont val="Arial"/>
        <family val="2"/>
      </rPr>
      <t xml:space="preserve">	
FECHA:</t>
    </r>
    <r>
      <rPr>
        <sz val="10"/>
        <color theme="1"/>
        <rFont val="Arial"/>
        <family val="2"/>
      </rPr>
      <t xml:space="preserve"> 03-02-2025</t>
    </r>
    <r>
      <rPr>
        <b/>
        <sz val="10"/>
        <color theme="1"/>
        <rFont val="Arial"/>
        <family val="2"/>
      </rPr>
      <t xml:space="preserve">	
PÁGINA: </t>
    </r>
    <r>
      <rPr>
        <sz val="10"/>
        <color theme="1"/>
        <rFont val="Arial"/>
        <family val="2"/>
      </rPr>
      <t>1 DE 2</t>
    </r>
  </si>
  <si>
    <r>
      <t>CÓDIGO:</t>
    </r>
    <r>
      <rPr>
        <sz val="10"/>
        <color theme="1"/>
        <rFont val="Arial"/>
        <family val="2"/>
      </rPr>
      <t xml:space="preserve"> GRF3MAN-FR35</t>
    </r>
    <r>
      <rPr>
        <b/>
        <sz val="10"/>
        <color theme="1"/>
        <rFont val="Arial"/>
        <family val="2"/>
      </rPr>
      <t xml:space="preserve">
VERSIÓN: </t>
    </r>
    <r>
      <rPr>
        <sz val="10"/>
        <color theme="1"/>
        <rFont val="Arial"/>
        <family val="2"/>
      </rPr>
      <t>4.0</t>
    </r>
    <r>
      <rPr>
        <b/>
        <sz val="10"/>
        <color theme="1"/>
        <rFont val="Arial"/>
        <family val="2"/>
      </rPr>
      <t xml:space="preserve">	
FECHA:</t>
    </r>
    <r>
      <rPr>
        <sz val="10"/>
        <color theme="1"/>
        <rFont val="Arial"/>
        <family val="2"/>
      </rPr>
      <t xml:space="preserve"> 03-02-2025</t>
    </r>
    <r>
      <rPr>
        <b/>
        <sz val="10"/>
        <color theme="1"/>
        <rFont val="Arial"/>
        <family val="2"/>
      </rPr>
      <t xml:space="preserve">	
PÁGINA: </t>
    </r>
    <r>
      <rPr>
        <sz val="10"/>
        <color theme="1"/>
        <rFont val="Arial"/>
        <family val="2"/>
      </rPr>
      <t>2 DE 2</t>
    </r>
  </si>
  <si>
    <t>REALIZADO POR</t>
  </si>
  <si>
    <t>RECIBIDO POR</t>
  </si>
  <si>
    <t>SERVICIO</t>
  </si>
  <si>
    <t xml:space="preserve">MONITOR DE GASES </t>
  </si>
  <si>
    <t>DRAEGER</t>
  </si>
  <si>
    <t>VAMOS 2</t>
  </si>
  <si>
    <t>ASAD-0021</t>
  </si>
  <si>
    <t>550514</t>
  </si>
  <si>
    <t>SCIO</t>
  </si>
  <si>
    <t>ASHD-0001</t>
  </si>
  <si>
    <t>ASFK-0085</t>
  </si>
  <si>
    <t>VAMOS</t>
  </si>
  <si>
    <t>ARXA-0026</t>
  </si>
  <si>
    <t>ASAD-0022</t>
  </si>
  <si>
    <t>550483</t>
  </si>
  <si>
    <t>BLOQUE QUIRÚRGICO</t>
  </si>
  <si>
    <t>MINDAY</t>
  </si>
  <si>
    <t>uMEC 10</t>
  </si>
  <si>
    <t>KN-45223120</t>
  </si>
  <si>
    <t>571126</t>
  </si>
  <si>
    <t>HOSPITALIZACIÓN PEDIATRÍA (Ruta Dorada)</t>
  </si>
  <si>
    <t>SIISTEMA DE TELEVISION PARA MONITOREO DE PACIENTES</t>
  </si>
  <si>
    <t>PHILIPS</t>
  </si>
  <si>
    <t>EFFICIA CMS200</t>
  </si>
  <si>
    <t>CN52101811</t>
  </si>
  <si>
    <t>572718</t>
  </si>
  <si>
    <t>NIHON KOHDEN</t>
  </si>
  <si>
    <t>CNS 9601</t>
  </si>
  <si>
    <t>00741</t>
  </si>
  <si>
    <t>00800</t>
  </si>
  <si>
    <t>MINDRAY</t>
  </si>
  <si>
    <t>HIPERVISOR VI</t>
  </si>
  <si>
    <t>MXL3370766</t>
  </si>
  <si>
    <t>MXL3382XCC</t>
  </si>
  <si>
    <t>NO DEFINIDO</t>
  </si>
  <si>
    <t>2UA3020MZ</t>
  </si>
  <si>
    <t>CMS Benevision</t>
  </si>
  <si>
    <t>JB-97006131</t>
  </si>
  <si>
    <t>CUIDADO INTERMEDIO PEDIÁTRICO</t>
  </si>
  <si>
    <t>CUIDADO INTERMEDIO ADULTO</t>
  </si>
  <si>
    <t>CUIDADO INTENSIVO ADULTO</t>
  </si>
  <si>
    <t>UNIDAD CRÍTICA OBSTÉTRICA</t>
  </si>
  <si>
    <t>EDAN</t>
  </si>
  <si>
    <t>M50</t>
  </si>
  <si>
    <t>333123-M13A01810036</t>
  </si>
  <si>
    <t>COMODATO 000900</t>
  </si>
  <si>
    <t xml:space="preserve">EDAN </t>
  </si>
  <si>
    <t>33123-M15907420043-01</t>
  </si>
  <si>
    <t>MEC-1200</t>
  </si>
  <si>
    <t>CC-32125139</t>
  </si>
  <si>
    <t>545103</t>
  </si>
  <si>
    <t>PENLON</t>
  </si>
  <si>
    <t>PM 8000 EXPRESS</t>
  </si>
  <si>
    <t>AA68C22551</t>
  </si>
  <si>
    <t>PM-9000</t>
  </si>
  <si>
    <t>W-78101038</t>
  </si>
  <si>
    <t>541211</t>
  </si>
  <si>
    <t>W78101021</t>
  </si>
  <si>
    <t>541268</t>
  </si>
  <si>
    <t>CC-32125137</t>
  </si>
  <si>
    <t>545093</t>
  </si>
  <si>
    <t>COMEN</t>
  </si>
  <si>
    <t>STAR 8000E</t>
  </si>
  <si>
    <t>E7200519036</t>
  </si>
  <si>
    <t>333123-M13707020027-01</t>
  </si>
  <si>
    <t>OPV-1500K</t>
  </si>
  <si>
    <t>04056</t>
  </si>
  <si>
    <t>CC-32125152</t>
  </si>
  <si>
    <t>333123-M13707020030-01</t>
  </si>
  <si>
    <t>333123-M14102120051</t>
  </si>
  <si>
    <t>333123-M14102120009</t>
  </si>
  <si>
    <t>CC-32125138</t>
  </si>
  <si>
    <t>545094</t>
  </si>
  <si>
    <t>CC-32125144</t>
  </si>
  <si>
    <t>545099</t>
  </si>
  <si>
    <t>CC-32125140</t>
  </si>
  <si>
    <t>545100</t>
  </si>
  <si>
    <t>CC-32125141</t>
  </si>
  <si>
    <t>545101</t>
  </si>
  <si>
    <t>CC-32125142</t>
  </si>
  <si>
    <t>545104</t>
  </si>
  <si>
    <t>CC-32125147</t>
  </si>
  <si>
    <t>545105</t>
  </si>
  <si>
    <t>CC-32125145</t>
  </si>
  <si>
    <t>545106</t>
  </si>
  <si>
    <t>IM8</t>
  </si>
  <si>
    <t>360001/M19910220036</t>
  </si>
  <si>
    <t>360001/M19910220002</t>
  </si>
  <si>
    <t>AA-77101320</t>
  </si>
  <si>
    <t>540494</t>
  </si>
  <si>
    <t>M8</t>
  </si>
  <si>
    <t>301204-K12100120009</t>
  </si>
  <si>
    <t>544587</t>
  </si>
  <si>
    <t>301204-K12100120017</t>
  </si>
  <si>
    <t>544588</t>
  </si>
  <si>
    <t>301204-K12100120014</t>
  </si>
  <si>
    <t>544591</t>
  </si>
  <si>
    <t>301204-K12100120019</t>
  </si>
  <si>
    <t>544592</t>
  </si>
  <si>
    <t>E7200821072F</t>
  </si>
  <si>
    <t>261246-M17911610039-01</t>
  </si>
  <si>
    <t>261246-M17911610003-01</t>
  </si>
  <si>
    <t>549984</t>
  </si>
  <si>
    <t>04057</t>
  </si>
  <si>
    <t>542150</t>
  </si>
  <si>
    <t>333123-M13707020054-01</t>
  </si>
  <si>
    <t>545371</t>
  </si>
  <si>
    <t>333123-M14102120001</t>
  </si>
  <si>
    <t>545697</t>
  </si>
  <si>
    <t>333123-M13707020064-01</t>
  </si>
  <si>
    <t>545367</t>
  </si>
  <si>
    <t xml:space="preserve">CRITIKON </t>
  </si>
  <si>
    <t>K5413</t>
  </si>
  <si>
    <t>510693
540562</t>
  </si>
  <si>
    <t>AA-77101321</t>
  </si>
  <si>
    <t>540496</t>
  </si>
  <si>
    <t>AA-77101318</t>
  </si>
  <si>
    <t>540511</t>
  </si>
  <si>
    <t>04060</t>
  </si>
  <si>
    <t>AA-77101319</t>
  </si>
  <si>
    <t>540506</t>
  </si>
  <si>
    <t>3927</t>
  </si>
  <si>
    <t>545241</t>
  </si>
  <si>
    <t>CC-32125149</t>
  </si>
  <si>
    <t>545098</t>
  </si>
  <si>
    <t>333123-M13707020019-01</t>
  </si>
  <si>
    <t>333123-M13707020049-01</t>
  </si>
  <si>
    <t>545372</t>
  </si>
  <si>
    <t>MEDIANA</t>
  </si>
  <si>
    <t>LUCON M20</t>
  </si>
  <si>
    <t>109709050014</t>
  </si>
  <si>
    <t>541976</t>
  </si>
  <si>
    <t>261246-M17911610017-01</t>
  </si>
  <si>
    <t>360001/M19910220009</t>
  </si>
  <si>
    <t>WELCH ALLYN</t>
  </si>
  <si>
    <t>PROPAC CS 242</t>
  </si>
  <si>
    <t>GA106852</t>
  </si>
  <si>
    <t>541208</t>
  </si>
  <si>
    <t>E7200821065F</t>
  </si>
  <si>
    <t>261246-M17911610024-01</t>
  </si>
  <si>
    <t>549982</t>
  </si>
  <si>
    <t>301204-K12100120002</t>
  </si>
  <si>
    <t>544589</t>
  </si>
  <si>
    <t>ATLAS</t>
  </si>
  <si>
    <t>333123-M13707020041-01</t>
  </si>
  <si>
    <t>E7200821063F</t>
  </si>
  <si>
    <t>GE MEDICAL</t>
  </si>
  <si>
    <t>PRO CARE 200</t>
  </si>
  <si>
    <t>AAW062002546A</t>
  </si>
  <si>
    <t>540845</t>
  </si>
  <si>
    <t>109709050011</t>
  </si>
  <si>
    <t>541980</t>
  </si>
  <si>
    <t>STAR 800H</t>
  </si>
  <si>
    <t>H7151128021G</t>
  </si>
  <si>
    <t>549887</t>
  </si>
  <si>
    <t>109709050001</t>
  </si>
  <si>
    <t>541978</t>
  </si>
  <si>
    <t>333021-M13301830022-01</t>
  </si>
  <si>
    <t>333123-M14102120006</t>
  </si>
  <si>
    <t>333123-M14102120045</t>
  </si>
  <si>
    <t>333123-M14102120037</t>
  </si>
  <si>
    <t>E7200519041</t>
  </si>
  <si>
    <t>CC-32125148</t>
  </si>
  <si>
    <t>545095</t>
  </si>
  <si>
    <t>PROPAQ LT</t>
  </si>
  <si>
    <t>KA 004843</t>
  </si>
  <si>
    <t>540863</t>
  </si>
  <si>
    <t>333123-M13707020048-01</t>
  </si>
  <si>
    <t>545377</t>
  </si>
  <si>
    <t>CC-32125150</t>
  </si>
  <si>
    <t>545102</t>
  </si>
  <si>
    <t>360001/M19910220035</t>
  </si>
  <si>
    <t>261246-M17911610031-01</t>
  </si>
  <si>
    <t>549981</t>
  </si>
  <si>
    <t>CC-32125146</t>
  </si>
  <si>
    <t>545107</t>
  </si>
  <si>
    <t>333123-M15907420056-01</t>
  </si>
  <si>
    <t>549314</t>
  </si>
  <si>
    <t>333123-M13707020014-01</t>
  </si>
  <si>
    <t>333123-M14102120029-01</t>
  </si>
  <si>
    <t>333123-M14102120047-01</t>
  </si>
  <si>
    <t>333123-M14102120024-01</t>
  </si>
  <si>
    <t>CC-32125151</t>
  </si>
  <si>
    <t>545096</t>
  </si>
  <si>
    <t>333123-M13707020070-01</t>
  </si>
  <si>
    <t>545373</t>
  </si>
  <si>
    <t>333123-M13707020057-01</t>
  </si>
  <si>
    <t>545374</t>
  </si>
  <si>
    <t>M80</t>
  </si>
  <si>
    <t>332278-M14102020033-02</t>
  </si>
  <si>
    <t>BENEVIEW T5</t>
  </si>
  <si>
    <t>CM-5C147325</t>
  </si>
  <si>
    <t>iM70</t>
  </si>
  <si>
    <t>360080-M20912910006</t>
  </si>
  <si>
    <t>360080-M20709360006</t>
  </si>
  <si>
    <t>BSM-2301K</t>
  </si>
  <si>
    <t>28624</t>
  </si>
  <si>
    <t>542002</t>
  </si>
  <si>
    <t>CM-5C147326</t>
  </si>
  <si>
    <t>549311</t>
  </si>
  <si>
    <t>IM70</t>
  </si>
  <si>
    <t>360080-M20912910023</t>
  </si>
  <si>
    <t>572669</t>
  </si>
  <si>
    <t>360080-M20709360014</t>
  </si>
  <si>
    <t>572670</t>
  </si>
  <si>
    <t>360080-M20909270008</t>
  </si>
  <si>
    <t>573326</t>
  </si>
  <si>
    <t>INFINITY VISTA XL</t>
  </si>
  <si>
    <t>CM-3A133880</t>
  </si>
  <si>
    <t>545694</t>
  </si>
  <si>
    <t xml:space="preserve">DELTA </t>
  </si>
  <si>
    <t>549356</t>
  </si>
  <si>
    <t>DELTA XL</t>
  </si>
  <si>
    <t>549362</t>
  </si>
  <si>
    <t>C80</t>
  </si>
  <si>
    <t>K8231030003</t>
  </si>
  <si>
    <t>572054</t>
  </si>
  <si>
    <t>K8231030002</t>
  </si>
  <si>
    <t>572056</t>
  </si>
  <si>
    <t>K8231030004</t>
  </si>
  <si>
    <t>572057</t>
  </si>
  <si>
    <t>360080-M20709370004</t>
  </si>
  <si>
    <t>572685</t>
  </si>
  <si>
    <t>CM-5C147329</t>
  </si>
  <si>
    <t>BSM-2303K</t>
  </si>
  <si>
    <t>01204</t>
  </si>
  <si>
    <t>360080-M17C02250012</t>
  </si>
  <si>
    <t>360080-M17C02250007</t>
  </si>
  <si>
    <t>360080-M17C02250001</t>
  </si>
  <si>
    <t>360080-M20912910014</t>
  </si>
  <si>
    <t>360080-M20912910024</t>
  </si>
  <si>
    <t>01206</t>
  </si>
  <si>
    <t>516341</t>
  </si>
  <si>
    <t>360080-M20912910019</t>
  </si>
  <si>
    <t>572676</t>
  </si>
  <si>
    <t>360080-M20709360017</t>
  </si>
  <si>
    <t>572679</t>
  </si>
  <si>
    <t>BSM-2353K</t>
  </si>
  <si>
    <t>00958</t>
  </si>
  <si>
    <t>01203</t>
  </si>
  <si>
    <t>360080-M20909270009</t>
  </si>
  <si>
    <t>360080-M20709370003</t>
  </si>
  <si>
    <t>00096</t>
  </si>
  <si>
    <t>360080-M20912910001</t>
  </si>
  <si>
    <t>360080-M20909270003</t>
  </si>
  <si>
    <t>VISTA 120 S</t>
  </si>
  <si>
    <t>S2SNF4458</t>
  </si>
  <si>
    <t>S2SNF4457</t>
  </si>
  <si>
    <t>S2SNF4445</t>
  </si>
  <si>
    <t>S2SNF4469</t>
  </si>
  <si>
    <t>S2SNF4461</t>
  </si>
  <si>
    <t>S2SNF4472</t>
  </si>
  <si>
    <t>S2SNF4474</t>
  </si>
  <si>
    <t>S2SNF4421</t>
  </si>
  <si>
    <t>S2SNF4418</t>
  </si>
  <si>
    <t>S2SNF4422</t>
  </si>
  <si>
    <t>S2SNF4425</t>
  </si>
  <si>
    <t>S2SNF4442</t>
  </si>
  <si>
    <t>360080-M20909270010</t>
  </si>
  <si>
    <t>572671</t>
  </si>
  <si>
    <t>360080-M20912910015</t>
  </si>
  <si>
    <t>572674</t>
  </si>
  <si>
    <t>360080-M20709370008</t>
  </si>
  <si>
    <t>572675</t>
  </si>
  <si>
    <t>S2SNF4473</t>
  </si>
  <si>
    <t>S2SNF4446</t>
  </si>
  <si>
    <t>/</t>
  </si>
  <si>
    <t>EX-3A011632</t>
  </si>
  <si>
    <t>iMEC 10</t>
  </si>
  <si>
    <t>EX-3A011635</t>
  </si>
  <si>
    <t>EX-3A011630</t>
  </si>
  <si>
    <t>EX-3A011639</t>
  </si>
  <si>
    <t>01199</t>
  </si>
  <si>
    <t>516235</t>
  </si>
  <si>
    <t>01205</t>
  </si>
  <si>
    <t>502106</t>
  </si>
  <si>
    <t>BSM-2351K</t>
  </si>
  <si>
    <t>00197</t>
  </si>
  <si>
    <t>507463</t>
  </si>
  <si>
    <t>00970</t>
  </si>
  <si>
    <t>540366</t>
  </si>
  <si>
    <t>06047</t>
  </si>
  <si>
    <t>540945</t>
  </si>
  <si>
    <t>01200</t>
  </si>
  <si>
    <t>502157</t>
  </si>
  <si>
    <t>360080-M20912910021</t>
  </si>
  <si>
    <t>572681</t>
  </si>
  <si>
    <t>00095</t>
  </si>
  <si>
    <t>00098</t>
  </si>
  <si>
    <t>00196</t>
  </si>
  <si>
    <t>500859</t>
  </si>
  <si>
    <t>360080-M20709370002</t>
  </si>
  <si>
    <t>572677</t>
  </si>
  <si>
    <t>360080-M20912910028</t>
  </si>
  <si>
    <t>572683</t>
  </si>
  <si>
    <t>00957</t>
  </si>
  <si>
    <t>540365</t>
  </si>
  <si>
    <t>518126</t>
  </si>
  <si>
    <t>CM-3B134872</t>
  </si>
  <si>
    <t>00094</t>
  </si>
  <si>
    <t>CM-3B134856</t>
  </si>
  <si>
    <t>CM-3B134860</t>
  </si>
  <si>
    <t>CM-3B134870</t>
  </si>
  <si>
    <t>CM-3B134868</t>
  </si>
  <si>
    <t>CM-3B134853</t>
  </si>
  <si>
    <t>CM-3B134858</t>
  </si>
  <si>
    <t>CM-3B134867</t>
  </si>
  <si>
    <t>CM-3B134862</t>
  </si>
  <si>
    <t>CM-3B134865</t>
  </si>
  <si>
    <t>CM-3B134873</t>
  </si>
  <si>
    <t>CM-3B134866</t>
  </si>
  <si>
    <t>CM-3B134854</t>
  </si>
  <si>
    <t>CM-3B134863</t>
  </si>
  <si>
    <t>CM-3B134855</t>
  </si>
  <si>
    <t>CM-3B134852</t>
  </si>
  <si>
    <t>CM-3B134871</t>
  </si>
  <si>
    <t>CM-3B134869</t>
  </si>
  <si>
    <t>CM-3B134861</t>
  </si>
  <si>
    <t>CM-3B134864</t>
  </si>
  <si>
    <t>545482</t>
  </si>
  <si>
    <t>CM-3B134857</t>
  </si>
  <si>
    <t>CM-3B134859</t>
  </si>
  <si>
    <t>545477</t>
  </si>
  <si>
    <t>572658</t>
  </si>
  <si>
    <t>360080-M20709360016</t>
  </si>
  <si>
    <t>572682</t>
  </si>
  <si>
    <t>CM-42136403</t>
  </si>
  <si>
    <t>CM-42136409</t>
  </si>
  <si>
    <t>CM-42136407</t>
  </si>
  <si>
    <t>CM-38132810</t>
  </si>
  <si>
    <t>CM-42136402</t>
  </si>
  <si>
    <t>545783</t>
  </si>
  <si>
    <t>CM-3A133869</t>
  </si>
  <si>
    <t>CM-42136406</t>
  </si>
  <si>
    <t>CM-42136404</t>
  </si>
  <si>
    <t>CM-42136405</t>
  </si>
  <si>
    <t>CM-3A133882</t>
  </si>
  <si>
    <t>360080-M20912910017</t>
  </si>
  <si>
    <t>572680</t>
  </si>
  <si>
    <t>360080-M20709360018</t>
  </si>
  <si>
    <t>572686</t>
  </si>
  <si>
    <t>CM-42136397</t>
  </si>
  <si>
    <t>CM-42136408</t>
  </si>
  <si>
    <t>545776</t>
  </si>
  <si>
    <t>EFFICIA CM120</t>
  </si>
  <si>
    <t>CN92395090</t>
  </si>
  <si>
    <t>572823</t>
  </si>
  <si>
    <t>CN92395089</t>
  </si>
  <si>
    <t>572826</t>
  </si>
  <si>
    <t>CN92395091</t>
  </si>
  <si>
    <t>572829</t>
  </si>
  <si>
    <t>CM-42136401</t>
  </si>
  <si>
    <t>CM-3A133871</t>
  </si>
  <si>
    <t>CM-42136399</t>
  </si>
  <si>
    <t>360080-M20909270007</t>
  </si>
  <si>
    <t>360080-M20912910010</t>
  </si>
  <si>
    <t>360080-M20912910002</t>
  </si>
  <si>
    <t>360080-M20709370010</t>
  </si>
  <si>
    <t>360080-M20912910030</t>
  </si>
  <si>
    <t>360080-M20912910007</t>
  </si>
  <si>
    <t>572668</t>
  </si>
  <si>
    <t>CN92395092</t>
  </si>
  <si>
    <t>572824</t>
  </si>
  <si>
    <t>CN92395095</t>
  </si>
  <si>
    <t>572825</t>
  </si>
  <si>
    <t>CN92395093</t>
  </si>
  <si>
    <t>572827</t>
  </si>
  <si>
    <t>CN92395094</t>
  </si>
  <si>
    <t>572828</t>
  </si>
  <si>
    <t>332278-M14102020026-02</t>
  </si>
  <si>
    <t>BENEVISION N12</t>
  </si>
  <si>
    <t>F8-03016172</t>
  </si>
  <si>
    <t>CM-42136410</t>
  </si>
  <si>
    <t>CM-42136411</t>
  </si>
  <si>
    <t>CM-42136398</t>
  </si>
  <si>
    <t>CM-5B146542</t>
  </si>
  <si>
    <t>CM-5C147331</t>
  </si>
  <si>
    <t>CM-5C147332</t>
  </si>
  <si>
    <t>CM-5C147333</t>
  </si>
  <si>
    <t>CM-5C147330</t>
  </si>
  <si>
    <t>F8-03016170</t>
  </si>
  <si>
    <t>360080-M20909270001</t>
  </si>
  <si>
    <t>360080-M20909270005</t>
  </si>
  <si>
    <t>572660</t>
  </si>
  <si>
    <t>K8231030005</t>
  </si>
  <si>
    <t>572055</t>
  </si>
  <si>
    <t>K8231030001</t>
  </si>
  <si>
    <t>572058</t>
  </si>
  <si>
    <t>K8231030006</t>
  </si>
  <si>
    <t>572059</t>
  </si>
  <si>
    <t>K8231030007</t>
  </si>
  <si>
    <t>572060</t>
  </si>
  <si>
    <t>360080-M20912910012</t>
  </si>
  <si>
    <t>572659</t>
  </si>
  <si>
    <t>360080-M20912010016</t>
  </si>
  <si>
    <t>572672</t>
  </si>
  <si>
    <t>360080-M20912010003</t>
  </si>
  <si>
    <t>572673</t>
  </si>
  <si>
    <t>360080-M20912910029</t>
  </si>
  <si>
    <t>572684</t>
  </si>
  <si>
    <t>F8-03016178</t>
  </si>
  <si>
    <t>F8-03016174</t>
  </si>
  <si>
    <t>F8-03016171</t>
  </si>
  <si>
    <t>F8-03016177</t>
  </si>
  <si>
    <t>F8-03016175</t>
  </si>
  <si>
    <t>F8-03016168</t>
  </si>
  <si>
    <t>F8-03016176</t>
  </si>
  <si>
    <t>F8-03016173</t>
  </si>
  <si>
    <t>GASTROENTEROLOGÍA</t>
  </si>
  <si>
    <t>CARDIOLOGÍA</t>
  </si>
  <si>
    <t>HOSPITALIZACIÓN GINECO-OBSTETRICIA</t>
  </si>
  <si>
    <t>HOSPITALIZACIÓN ADULTOS EXPANSIÓN</t>
  </si>
  <si>
    <t>CUIDADO INTENSIVO NEONATAL</t>
  </si>
  <si>
    <t>HOSPITALIZACIÓN PEDIATRÍA</t>
  </si>
  <si>
    <t>HOSPITALIZACIÓN ADULTOS 5° PISO</t>
  </si>
  <si>
    <t>CUIDADO INTERMEDIO NEONATAL</t>
  </si>
  <si>
    <t>INVENTARIOS</t>
  </si>
  <si>
    <t>BANCO DE SANGRE</t>
  </si>
  <si>
    <t>HOSPITALIZACIÓN ADULTOS 4° PISO</t>
  </si>
  <si>
    <t>QUIMIOTERAPIA</t>
  </si>
  <si>
    <t>URGENCIAS</t>
  </si>
  <si>
    <t xml:space="preserve">URGENCIAS </t>
  </si>
  <si>
    <t>URGENCIAS PEDIATRÍA</t>
  </si>
  <si>
    <t>HOSPITALIZACIÓN QUIRÚRGICAS</t>
  </si>
  <si>
    <t>HEMODIÁLISIS</t>
  </si>
  <si>
    <t>CUIDADO INTENSIVO PEDIÁTRICO</t>
  </si>
  <si>
    <t>MONITOR DE SIGNOS VITALES</t>
  </si>
  <si>
    <t>MONITOR MULTIPARÁMETROS</t>
  </si>
  <si>
    <t>BUSQUEDA</t>
  </si>
  <si>
    <t>BUSQUEDA 🔎</t>
  </si>
  <si>
    <t>545688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</si>
</sst>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color theme="1"/>
      <name val="Calibri"/>
      <family val="2"/>
    </font>
    <font>
      <b/>
      <sz val="11"/>
      <color theme="1"/>
      <name val="Calibri"/>
      <family val="2"/>
      <scheme val="minor"/>
    </font>
    <font>
      <b/>
      <sz val="10"/>
      <color rgb="FF000000"/>
      <name val="Calibri Light"/>
      <family val="2"/>
      <scheme val="major"/>
    </font>
    <font>
      <sz val="10"/>
      <color rgb="FF000000"/>
      <name val="Calibri"/>
      <family val="2"/>
    </font>
    <font>
      <sz val="10"/>
      <color rgb="FF000000"/>
      <name val="Calibri"/>
      <family val="2"/>
      <scheme val="minor"/>
    </font>
    <font>
      <b/>
      <sz val="11"/>
      <color rgb="FF054F51"/>
      <name val="Calibri"/>
      <family val="2"/>
      <scheme val="minor"/>
    </font>
    <font>
      <sz val="10"/>
      <color rgb="FF000000"/>
      <name val="Calibri Light"/>
      <family val="2"/>
      <scheme val="major"/>
    </font>
    <font>
      <sz val="20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75C7A1"/>
        <bgColor rgb="FF75C7A1"/>
      </patternFill>
    </fill>
    <fill>
      <patternFill patternType="solid">
        <fgColor rgb="FFF4CCCC"/>
        <bgColor rgb="FFF4CCCC"/>
      </patternFill>
    </fill>
    <fill>
      <patternFill patternType="solid">
        <fgColor theme="0"/>
        <bgColor theme="0"/>
      </patternFill>
    </fill>
    <fill>
      <patternFill patternType="solid">
        <fgColor theme="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rgb="FFFFFFFF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1">
    <xf numFmtId="0" fontId="0" fillId="0" borderId="0"/>
  </cellStyleXfs>
  <cellXfs count="159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2" borderId="41" xfId="0" applyFont="1" applyFill="1" applyBorder="1" applyAlignment="1">
      <alignment horizontal="left"/>
    </xf>
    <xf numFmtId="0" fontId="3" fillId="2" borderId="42" xfId="0" applyFont="1" applyFill="1" applyBorder="1" applyAlignment="1">
      <alignment horizontal="left"/>
    </xf>
    <xf numFmtId="0" fontId="3" fillId="2" borderId="43" xfId="0" applyFont="1" applyFill="1" applyBorder="1" applyAlignment="1">
      <alignment horizontal="left"/>
    </xf>
    <xf numFmtId="0" fontId="3" fillId="2" borderId="38" xfId="0" applyFont="1" applyFill="1" applyBorder="1" applyAlignment="1">
      <alignment horizontal="left"/>
    </xf>
    <xf numFmtId="0" fontId="3" fillId="2" borderId="39" xfId="0" applyFont="1" applyFill="1" applyBorder="1" applyAlignment="1">
      <alignment horizontal="left"/>
    </xf>
    <xf numFmtId="0" fontId="3" fillId="2" borderId="40" xfId="0" applyFont="1" applyFill="1" applyBorder="1" applyAlignment="1">
      <alignment horizontal="left"/>
    </xf>
    <xf numFmtId="0" fontId="3" fillId="2" borderId="35" xfId="0" applyFont="1" applyFill="1" applyBorder="1" applyAlignment="1">
      <alignment horizontal="left"/>
    </xf>
    <xf numFmtId="0" fontId="3" fillId="2" borderId="36" xfId="0" applyFont="1" applyFill="1" applyBorder="1" applyAlignment="1">
      <alignment horizontal="left"/>
    </xf>
    <xf numFmtId="0" fontId="3" fillId="2" borderId="37" xfId="0" applyFont="1" applyFill="1" applyBorder="1" applyAlignment="1">
      <alignment horizontal="left"/>
    </xf>
    <xf numFmtId="0" fontId="2" fillId="0" borderId="1" xfId="0" applyFont="1" applyBorder="1" applyAlignment="1">
      <alignment horizontal="center" wrapText="1"/>
    </xf>
    <xf numFmtId="0" fontId="3" fillId="2" borderId="1" xfId="0" applyFont="1" applyFill="1" applyBorder="1"/>
    <xf numFmtId="0" fontId="1" fillId="0" borderId="1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3" fillId="2" borderId="8" xfId="0" applyFont="1" applyFill="1" applyBorder="1"/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5" xfId="0" applyFont="1" applyBorder="1"/>
    <xf numFmtId="0" fontId="1" fillId="0" borderId="1" xfId="0" applyFont="1" applyBorder="1"/>
    <xf numFmtId="0" fontId="1" fillId="0" borderId="6" xfId="0" applyFont="1" applyBorder="1"/>
    <xf numFmtId="0" fontId="2" fillId="2" borderId="14" xfId="0" applyFont="1" applyFill="1" applyBorder="1" applyAlignment="1">
      <alignment horizontal="center"/>
    </xf>
    <xf numFmtId="0" fontId="2" fillId="2" borderId="10" xfId="0" applyFont="1" applyFill="1" applyBorder="1" applyAlignment="1">
      <alignment horizontal="center"/>
    </xf>
    <xf numFmtId="0" fontId="2" fillId="2" borderId="15" xfId="0" applyFont="1" applyFill="1" applyBorder="1" applyAlignment="1">
      <alignment horizontal="center"/>
    </xf>
    <xf numFmtId="0" fontId="1" fillId="0" borderId="2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center"/>
    </xf>
    <xf numFmtId="0" fontId="1" fillId="0" borderId="4" xfId="0" applyFont="1" applyBorder="1" applyAlignment="1">
      <alignment horizontal="left" vertical="center"/>
    </xf>
    <xf numFmtId="0" fontId="1" fillId="0" borderId="5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1" fillId="0" borderId="6" xfId="0" applyFont="1" applyBorder="1" applyAlignment="1">
      <alignment horizontal="left" vertical="center"/>
    </xf>
    <xf numFmtId="0" fontId="1" fillId="0" borderId="5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2" fillId="2" borderId="18" xfId="0" applyFont="1" applyFill="1" applyBorder="1" applyAlignment="1">
      <alignment horizontal="center"/>
    </xf>
    <xf numFmtId="0" fontId="2" fillId="2" borderId="19" xfId="0" applyFont="1" applyFill="1" applyBorder="1" applyAlignment="1">
      <alignment horizontal="center"/>
    </xf>
    <xf numFmtId="0" fontId="1" fillId="0" borderId="8" xfId="0" applyFont="1" applyBorder="1"/>
    <xf numFmtId="0" fontId="1" fillId="0" borderId="9" xfId="0" applyFont="1" applyBorder="1"/>
    <xf numFmtId="0" fontId="3" fillId="2" borderId="3" xfId="0" applyFont="1" applyFill="1" applyBorder="1"/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3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left"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3" xfId="0" applyFont="1" applyBorder="1"/>
    <xf numFmtId="0" fontId="1" fillId="0" borderId="4" xfId="0" applyFont="1" applyBorder="1"/>
    <xf numFmtId="0" fontId="1" fillId="0" borderId="7" xfId="0" applyFont="1" applyBorder="1"/>
    <xf numFmtId="0" fontId="1" fillId="0" borderId="14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27" xfId="0" applyFont="1" applyBorder="1" applyAlignment="1">
      <alignment horizontal="center" vertical="center" wrapText="1"/>
    </xf>
    <xf numFmtId="0" fontId="1" fillId="0" borderId="16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28" xfId="0" applyFont="1" applyBorder="1" applyAlignment="1">
      <alignment horizontal="center" vertical="center" wrapText="1"/>
    </xf>
    <xf numFmtId="0" fontId="1" fillId="0" borderId="29" xfId="0" applyFont="1" applyBorder="1" applyAlignment="1">
      <alignment horizontal="center" vertical="center" wrapText="1"/>
    </xf>
    <xf numFmtId="0" fontId="1" fillId="0" borderId="30" xfId="0" applyFont="1" applyBorder="1" applyAlignment="1">
      <alignment horizontal="center" vertical="center" wrapText="1"/>
    </xf>
    <xf numFmtId="0" fontId="1" fillId="0" borderId="3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6" xfId="0" applyFont="1" applyBorder="1" applyAlignment="1">
      <alignment horizontal="left" vertical="center" wrapText="1"/>
    </xf>
    <xf numFmtId="0" fontId="1" fillId="0" borderId="32" xfId="0" applyFont="1" applyBorder="1"/>
    <xf numFmtId="0" fontId="1" fillId="0" borderId="33" xfId="0" applyFont="1" applyBorder="1"/>
    <xf numFmtId="0" fontId="2" fillId="2" borderId="14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2" fillId="2" borderId="15" xfId="0" applyFont="1" applyFill="1" applyBorder="1" applyAlignment="1">
      <alignment horizontal="center" vertical="center"/>
    </xf>
    <xf numFmtId="0" fontId="2" fillId="2" borderId="16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2" borderId="17" xfId="0" applyFont="1" applyFill="1" applyBorder="1" applyAlignment="1">
      <alignment horizontal="center" vertical="center"/>
    </xf>
    <xf numFmtId="0" fontId="1" fillId="0" borderId="32" xfId="0" applyFont="1" applyBorder="1" applyAlignment="1">
      <alignment horizontal="left" vertical="center" wrapText="1"/>
    </xf>
    <xf numFmtId="0" fontId="1" fillId="0" borderId="33" xfId="0" applyFont="1" applyBorder="1" applyAlignment="1">
      <alignment horizontal="left" vertical="center" wrapText="1"/>
    </xf>
    <xf numFmtId="0" fontId="1" fillId="0" borderId="14" xfId="0" applyFont="1" applyBorder="1" applyAlignment="1">
      <alignment horizontal="center" vertical="center" textRotation="90" wrapText="1"/>
    </xf>
    <xf numFmtId="0" fontId="1" fillId="0" borderId="10" xfId="0" applyFont="1" applyBorder="1" applyAlignment="1">
      <alignment horizontal="center" vertical="center" textRotation="90" wrapText="1"/>
    </xf>
    <xf numFmtId="0" fontId="1" fillId="0" borderId="27" xfId="0" applyFont="1" applyBorder="1" applyAlignment="1">
      <alignment horizontal="center" vertical="center" textRotation="90" wrapText="1"/>
    </xf>
    <xf numFmtId="0" fontId="1" fillId="0" borderId="16" xfId="0" applyFont="1" applyBorder="1" applyAlignment="1">
      <alignment horizontal="center" vertical="center" textRotation="90" wrapText="1"/>
    </xf>
    <xf numFmtId="0" fontId="1" fillId="0" borderId="0" xfId="0" applyFont="1" applyAlignment="1">
      <alignment horizontal="center" vertical="center" textRotation="90" wrapText="1"/>
    </xf>
    <xf numFmtId="0" fontId="1" fillId="0" borderId="28" xfId="0" applyFont="1" applyBorder="1" applyAlignment="1">
      <alignment horizontal="center" vertical="center" textRotation="90" wrapText="1"/>
    </xf>
    <xf numFmtId="0" fontId="1" fillId="0" borderId="29" xfId="0" applyFont="1" applyBorder="1" applyAlignment="1">
      <alignment horizontal="center" vertical="center" textRotation="90" wrapText="1"/>
    </xf>
    <xf numFmtId="0" fontId="1" fillId="0" borderId="30" xfId="0" applyFont="1" applyBorder="1" applyAlignment="1">
      <alignment horizontal="center" vertical="center" textRotation="90" wrapText="1"/>
    </xf>
    <xf numFmtId="0" fontId="1" fillId="0" borderId="31" xfId="0" applyFont="1" applyBorder="1" applyAlignment="1">
      <alignment horizontal="center" vertical="center" textRotation="90" wrapText="1"/>
    </xf>
    <xf numFmtId="0" fontId="2" fillId="2" borderId="20" xfId="0" applyFont="1" applyFill="1" applyBorder="1" applyAlignment="1">
      <alignment horizontal="center"/>
    </xf>
    <xf numFmtId="0" fontId="1" fillId="2" borderId="19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1" fillId="0" borderId="2" xfId="0" applyFont="1" applyBorder="1"/>
    <xf numFmtId="0" fontId="1" fillId="0" borderId="34" xfId="0" applyFont="1" applyBorder="1"/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7" xfId="0" applyFont="1" applyBorder="1" applyAlignment="1">
      <alignment horizontal="left" vertical="center"/>
    </xf>
    <xf numFmtId="0" fontId="1" fillId="0" borderId="8" xfId="0" applyFont="1" applyBorder="1" applyAlignment="1">
      <alignment horizontal="left" vertical="center"/>
    </xf>
    <xf numFmtId="0" fontId="1" fillId="0" borderId="9" xfId="0" applyFont="1" applyBorder="1" applyAlignment="1">
      <alignment horizontal="left" vertical="center"/>
    </xf>
    <xf numFmtId="0" fontId="2" fillId="2" borderId="11" xfId="0" applyFont="1" applyFill="1" applyBorder="1" applyAlignment="1">
      <alignment horizontal="center"/>
    </xf>
    <xf numFmtId="0" fontId="2" fillId="2" borderId="12" xfId="0" applyFont="1" applyFill="1" applyBorder="1" applyAlignment="1">
      <alignment horizontal="center"/>
    </xf>
    <xf numFmtId="0" fontId="2" fillId="2" borderId="13" xfId="0" applyFont="1" applyFill="1" applyBorder="1" applyAlignment="1">
      <alignment horizontal="center"/>
    </xf>
    <xf numFmtId="0" fontId="1" fillId="0" borderId="21" xfId="0" applyFont="1" applyBorder="1"/>
    <xf numFmtId="0" fontId="1" fillId="0" borderId="22" xfId="0" applyFont="1" applyBorder="1"/>
    <xf numFmtId="0" fontId="1" fillId="0" borderId="23" xfId="0" applyFont="1" applyBorder="1"/>
    <xf numFmtId="0" fontId="2" fillId="0" borderId="24" xfId="0" applyFont="1" applyBorder="1" applyAlignment="1">
      <alignment horizontal="left" vertical="center"/>
    </xf>
    <xf numFmtId="0" fontId="2" fillId="0" borderId="25" xfId="0" applyFont="1" applyBorder="1" applyAlignment="1">
      <alignment horizontal="left" vertical="center"/>
    </xf>
    <xf numFmtId="0" fontId="1" fillId="0" borderId="25" xfId="0" applyFont="1" applyBorder="1" applyAlignment="1">
      <alignment horizontal="center"/>
    </xf>
    <xf numFmtId="0" fontId="1" fillId="0" borderId="26" xfId="0" applyFont="1" applyBorder="1" applyAlignment="1">
      <alignment horizontal="center"/>
    </xf>
    <xf numFmtId="0" fontId="2" fillId="2" borderId="11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23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7" fillId="0" borderId="47" xfId="0" applyFont="1" applyBorder="1" applyAlignment="1">
      <alignment horizontal="center" vertical="center" wrapText="1"/>
    </xf>
    <xf numFmtId="49" fontId="7" fillId="0" borderId="47" xfId="0" applyNumberFormat="1" applyFont="1" applyBorder="1" applyAlignment="1">
      <alignment horizontal="center" vertical="center" wrapText="1"/>
    </xf>
    <xf numFmtId="49" fontId="8" fillId="0" borderId="47" xfId="0" applyNumberFormat="1" applyFont="1" applyBorder="1" applyAlignment="1">
      <alignment horizontal="center" vertical="center" wrapText="1"/>
    </xf>
    <xf numFmtId="0" fontId="7" fillId="6" borderId="47" xfId="0" applyFont="1" applyFill="1" applyBorder="1" applyAlignment="1">
      <alignment horizontal="center" vertical="center" wrapText="1"/>
    </xf>
    <xf numFmtId="49" fontId="7" fillId="6" borderId="47" xfId="0" applyNumberFormat="1" applyFont="1" applyFill="1" applyBorder="1" applyAlignment="1">
      <alignment horizontal="center" vertical="center" wrapText="1"/>
    </xf>
    <xf numFmtId="49" fontId="8" fillId="6" borderId="47" xfId="0" applyNumberFormat="1" applyFont="1" applyFill="1" applyBorder="1" applyAlignment="1">
      <alignment horizontal="center" vertical="center" wrapText="1"/>
    </xf>
    <xf numFmtId="0" fontId="7" fillId="7" borderId="47" xfId="0" applyFont="1" applyFill="1" applyBorder="1" applyAlignment="1">
      <alignment horizontal="center" vertical="center" wrapText="1"/>
    </xf>
    <xf numFmtId="49" fontId="7" fillId="7" borderId="47" xfId="0" applyNumberFormat="1" applyFont="1" applyFill="1" applyBorder="1" applyAlignment="1">
      <alignment horizontal="center" vertical="center" wrapText="1"/>
    </xf>
    <xf numFmtId="49" fontId="8" fillId="10" borderId="47" xfId="0" applyNumberFormat="1" applyFont="1" applyFill="1" applyBorder="1" applyAlignment="1">
      <alignment horizontal="center" vertical="center" wrapText="1"/>
    </xf>
    <xf numFmtId="49" fontId="8" fillId="7" borderId="47" xfId="0" applyNumberFormat="1" applyFont="1" applyFill="1" applyBorder="1" applyAlignment="1">
      <alignment horizontal="center" vertical="center" wrapText="1"/>
    </xf>
    <xf numFmtId="0" fontId="6" fillId="0" borderId="48" xfId="0" applyFont="1" applyBorder="1" applyAlignment="1">
      <alignment horizontal="center" vertical="center" wrapText="1"/>
    </xf>
    <xf numFmtId="0" fontId="6" fillId="0" borderId="49" xfId="0" applyFont="1" applyBorder="1" applyAlignment="1">
      <alignment horizontal="center" vertical="center" wrapText="1"/>
    </xf>
    <xf numFmtId="0" fontId="6" fillId="6" borderId="49" xfId="0" applyFont="1" applyFill="1" applyBorder="1" applyAlignment="1">
      <alignment horizontal="center" vertical="center" wrapText="1"/>
    </xf>
    <xf numFmtId="0" fontId="6" fillId="7" borderId="48" xfId="0" applyFont="1" applyFill="1" applyBorder="1" applyAlignment="1">
      <alignment horizontal="center" vertical="center" wrapText="1"/>
    </xf>
    <xf numFmtId="0" fontId="9" fillId="8" borderId="49" xfId="0" applyFont="1" applyFill="1" applyBorder="1" applyAlignment="1">
      <alignment horizontal="center" vertical="center" wrapText="1"/>
    </xf>
    <xf numFmtId="0" fontId="6" fillId="7" borderId="49" xfId="0" applyFont="1" applyFill="1" applyBorder="1" applyAlignment="1">
      <alignment horizontal="center" vertical="center" wrapText="1"/>
    </xf>
    <xf numFmtId="0" fontId="6" fillId="9" borderId="49" xfId="0" applyFont="1" applyFill="1" applyBorder="1" applyAlignment="1">
      <alignment horizontal="center" vertical="center" wrapText="1"/>
    </xf>
    <xf numFmtId="0" fontId="7" fillId="0" borderId="50" xfId="0" applyFont="1" applyBorder="1" applyAlignment="1">
      <alignment horizontal="center" vertical="center" wrapText="1"/>
    </xf>
    <xf numFmtId="0" fontId="7" fillId="6" borderId="50" xfId="0" applyFont="1" applyFill="1" applyBorder="1" applyAlignment="1">
      <alignment horizontal="center" vertical="center" wrapText="1"/>
    </xf>
    <xf numFmtId="0" fontId="7" fillId="7" borderId="50" xfId="0" applyFont="1" applyFill="1" applyBorder="1" applyAlignment="1">
      <alignment horizontal="center" vertical="center" wrapText="1"/>
    </xf>
    <xf numFmtId="0" fontId="5" fillId="5" borderId="51" xfId="0" applyFont="1" applyFill="1" applyBorder="1" applyAlignment="1">
      <alignment horizontal="center" vertical="center" wrapText="1"/>
    </xf>
    <xf numFmtId="0" fontId="5" fillId="5" borderId="52" xfId="0" applyFont="1" applyFill="1" applyBorder="1" applyAlignment="1">
      <alignment horizontal="center" vertical="center" wrapText="1"/>
    </xf>
    <xf numFmtId="49" fontId="5" fillId="5" borderId="52" xfId="0" applyNumberFormat="1" applyFont="1" applyFill="1" applyBorder="1" applyAlignment="1">
      <alignment horizontal="center" vertical="center" wrapText="1"/>
    </xf>
    <xf numFmtId="0" fontId="5" fillId="5" borderId="53" xfId="0" applyFont="1" applyFill="1" applyBorder="1" applyAlignment="1">
      <alignment horizontal="center" vertical="center" wrapText="1"/>
    </xf>
    <xf numFmtId="0" fontId="6" fillId="0" borderId="54" xfId="0" applyFont="1" applyBorder="1" applyAlignment="1">
      <alignment horizontal="center" vertical="center" wrapText="1"/>
    </xf>
    <xf numFmtId="0" fontId="7" fillId="0" borderId="55" xfId="0" applyFont="1" applyBorder="1" applyAlignment="1">
      <alignment horizontal="center" vertical="center" wrapText="1"/>
    </xf>
    <xf numFmtId="49" fontId="7" fillId="0" borderId="55" xfId="0" applyNumberFormat="1" applyFont="1" applyBorder="1" applyAlignment="1">
      <alignment horizontal="center" vertical="center" wrapText="1"/>
    </xf>
    <xf numFmtId="49" fontId="8" fillId="0" borderId="55" xfId="0" applyNumberFormat="1" applyFont="1" applyBorder="1" applyAlignment="1">
      <alignment horizontal="center" vertical="center" wrapText="1"/>
    </xf>
    <xf numFmtId="0" fontId="7" fillId="0" borderId="56" xfId="0" applyFont="1" applyBorder="1" applyAlignment="1">
      <alignment horizontal="center" vertical="center" wrapText="1"/>
    </xf>
    <xf numFmtId="0" fontId="1" fillId="3" borderId="46" xfId="0" applyFont="1" applyFill="1" applyBorder="1" applyAlignment="1">
      <alignment horizontal="center" vertical="center"/>
    </xf>
    <xf numFmtId="0" fontId="1" fillId="3" borderId="42" xfId="0" applyFont="1" applyFill="1" applyBorder="1" applyAlignment="1">
      <alignment horizontal="center" vertical="center"/>
    </xf>
    <xf numFmtId="0" fontId="1" fillId="3" borderId="43" xfId="0" applyFont="1" applyFill="1" applyBorder="1" applyAlignment="1">
      <alignment horizontal="center" vertical="center"/>
    </xf>
    <xf numFmtId="0" fontId="1" fillId="3" borderId="45" xfId="0" applyFont="1" applyFill="1" applyBorder="1" applyAlignment="1">
      <alignment horizontal="center" vertical="center"/>
    </xf>
    <xf numFmtId="0" fontId="1" fillId="3" borderId="39" xfId="0" applyFont="1" applyFill="1" applyBorder="1" applyAlignment="1">
      <alignment horizontal="center" vertical="center"/>
    </xf>
    <xf numFmtId="0" fontId="1" fillId="3" borderId="40" xfId="0" applyFont="1" applyFill="1" applyBorder="1" applyAlignment="1">
      <alignment horizontal="center" vertical="center"/>
    </xf>
    <xf numFmtId="0" fontId="1" fillId="3" borderId="44" xfId="0" applyFont="1" applyFill="1" applyBorder="1" applyAlignment="1">
      <alignment horizontal="center" vertical="center"/>
    </xf>
    <xf numFmtId="0" fontId="1" fillId="3" borderId="36" xfId="0" applyFont="1" applyFill="1" applyBorder="1" applyAlignment="1">
      <alignment horizontal="center" vertical="center"/>
    </xf>
    <xf numFmtId="0" fontId="1" fillId="3" borderId="37" xfId="0" applyFont="1" applyFill="1" applyBorder="1" applyAlignment="1">
      <alignment horizontal="center" vertical="center"/>
    </xf>
    <xf numFmtId="0" fontId="4" fillId="4" borderId="1" xfId="0" applyFont="1" applyFill="1" applyBorder="1"/>
    <xf numFmtId="0" fontId="10" fillId="4" borderId="1" xfId="0" applyFont="1" applyFill="1" applyBorder="1"/>
    <xf numFmtId="0" fontId="0" fillId="0" borderId="1" xfId="0" applyBorder="1" applyAlignment="1">
      <alignment horizontal="left" vertical="center"/>
    </xf>
    <xf numFmtId="49" fontId="10" fillId="0" borderId="1" xfId="0" applyNumberFormat="1" applyFont="1" applyBorder="1" applyAlignment="1">
      <alignment horizontal="center" vertical="center"/>
    </xf>
    <xf numFmtId="49" fontId="0" fillId="0" borderId="0" xfId="0" applyNumberFormat="1"/>
    <xf numFmtId="0" fontId="0" fillId="0" borderId="1" xfId="0" applyBorder="1" applyAlignment="1">
      <alignment horizontal="left"/>
    </xf>
  </cellXfs>
  <cellStyles count="1">
    <cellStyle name="Normal" xfId="0" builtinId="0"/>
  </cellStyles>
  <dxfs count="10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54F51"/>
        <name val="Calibri"/>
        <family val="2"/>
        <scheme val="minor"/>
      </font>
      <numFmt numFmtId="30" formatCode="@"/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 Light"/>
        <family val="2"/>
        <scheme val="major"/>
      </font>
      <fill>
        <patternFill patternType="solid">
          <fgColor rgb="FF75C7A1"/>
          <bgColor rgb="FF75C7A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minor"/>
      </font>
      <numFmt numFmtId="30" formatCode="@"/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/>
        <right/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bottom style="medium">
          <color rgb="FF000000"/>
        </bottom>
      </border>
    </dxf>
    <dxf>
      <border outline="0">
        <left style="medium">
          <color rgb="FF000000"/>
        </left>
        <right style="thin">
          <color rgb="FF000000"/>
        </right>
        <top style="medium">
          <color rgb="FF000000"/>
        </top>
        <bottom style="thin">
          <color rgb="FF000000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220202</xdr:colOff>
      <xdr:row>0</xdr:row>
      <xdr:rowOff>88422</xdr:rowOff>
    </xdr:from>
    <xdr:to>
      <xdr:col>3</xdr:col>
      <xdr:colOff>151253</xdr:colOff>
      <xdr:row>3</xdr:row>
      <xdr:rowOff>94574</xdr:rowOff>
    </xdr:to>
    <xdr:pic>
      <xdr:nvPicPr>
        <xdr:cNvPr id="3" name="Imagen 2" descr="Descripción: Descripción: Descripción: LOGOCONPUNTO">
          <a:extLst>
            <a:ext uri="{FF2B5EF4-FFF2-40B4-BE49-F238E27FC236}">
              <a16:creationId xmlns:a16="http://schemas.microsoft.com/office/drawing/2014/main" id="{492F5FB4-D2E8-EAFF-99EF-4D1A146C4E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4535" y="88422"/>
          <a:ext cx="650718" cy="545902"/>
        </a:xfrm>
        <a:prstGeom prst="rect">
          <a:avLst/>
        </a:prstGeom>
        <a:noFill/>
        <a:ln>
          <a:noFill/>
        </a:ln>
      </xdr:spPr>
    </xdr:pic>
    <xdr:clientData/>
  </xdr:twoCellAnchor>
  <xdr:oneCellAnchor>
    <xdr:from>
      <xdr:col>1</xdr:col>
      <xdr:colOff>230786</xdr:colOff>
      <xdr:row>43</xdr:row>
      <xdr:rowOff>109588</xdr:rowOff>
    </xdr:from>
    <xdr:ext cx="650718" cy="545902"/>
    <xdr:pic>
      <xdr:nvPicPr>
        <xdr:cNvPr id="5" name="Imagen 4" descr="Descripción: Descripción: Descripción: LOGOCONPUNTO">
          <a:extLst>
            <a:ext uri="{FF2B5EF4-FFF2-40B4-BE49-F238E27FC236}">
              <a16:creationId xmlns:a16="http://schemas.microsoft.com/office/drawing/2014/main" id="{342E75FE-28A9-48D1-87D1-FF6B9F144E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5119" y="11021005"/>
          <a:ext cx="650718" cy="545902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DFD4CF2-6ED0-486F-8BFF-7CE4FF067C43}" name="Monitores" displayName="Monitores" ref="A1:F250" totalsRowShown="0" headerRowDxfId="1" headerRowBorderDxfId="8" tableBorderDxfId="9" totalsRowBorderDxfId="7">
  <autoFilter ref="A1:F250" xr:uid="{BDFD4CF2-6ED0-486F-8BFF-7CE4FF067C43}"/>
  <tableColumns count="6">
    <tableColumn id="7" xr3:uid="{AF7F68A5-0A91-49ED-A408-65BDFC1668CB}" name="ACTIVO FIJO" dataDxfId="0"/>
    <tableColumn id="1" xr3:uid="{B99C5B3D-DC3D-4B1A-BEA5-A771859D1745}" name="EQUIPO" dataDxfId="6"/>
    <tableColumn id="2" xr3:uid="{4A6020CC-9216-474C-9C15-FEB85F6B822B}" name="MARCA" dataDxfId="5"/>
    <tableColumn id="3" xr3:uid="{F9DDDD64-E56A-4A38-9C63-080188D84744}" name="MODELO" dataDxfId="4"/>
    <tableColumn id="4" xr3:uid="{A4DC55BF-26AC-457C-94CB-1FF37D3ADA1F}" name="SERIE" dataDxfId="3"/>
    <tableColumn id="6" xr3:uid="{4DC17843-B144-4E63-9BC8-3D0DD5E1CCCD}" name="SERVICIO" dataDxfId="2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73325D-3D9D-4281-997F-B69BF4BAB034}">
  <dimension ref="A2:B9"/>
  <sheetViews>
    <sheetView workbookViewId="0">
      <selection activeCell="B3" sqref="B3"/>
    </sheetView>
  </sheetViews>
  <sheetFormatPr baseColWidth="10" defaultRowHeight="15" x14ac:dyDescent="0.25"/>
  <cols>
    <col min="1" max="1" width="24.5703125" customWidth="1"/>
    <col min="2" max="2" width="40.7109375" customWidth="1"/>
  </cols>
  <sheetData>
    <row r="2" spans="1:2" ht="26.25" x14ac:dyDescent="0.4">
      <c r="A2" s="154" t="s">
        <v>494</v>
      </c>
      <c r="B2" s="156" t="s">
        <v>495</v>
      </c>
    </row>
    <row r="4" spans="1:2" x14ac:dyDescent="0.25">
      <c r="A4" s="153" t="s">
        <v>59</v>
      </c>
      <c r="B4" s="155" cm="1">
        <f t="array" ref="B4">IFERROR(_xlfn.XLOOKUP(TRIM(B2&amp;""), TRIM(Monitores[ACTIVO FIJO]&amp;""), Monitores[ACTIVO FIJO]),"")</f>
        <v>545688</v>
      </c>
    </row>
    <row r="5" spans="1:2" x14ac:dyDescent="0.25">
      <c r="A5" s="153" t="s">
        <v>57</v>
      </c>
      <c r="B5" s="155" t="str" cm="1">
        <f t="array" ref="B5">IFERROR(_xlfn.XLOOKUP(TRIM(B2&amp;""), TRIM(Monitores[ACTIVO FIJO]&amp;""), Monitores[EQUIPO]),"")</f>
        <v>MONITOR DE SIGNOS VITALES</v>
      </c>
    </row>
    <row r="6" spans="1:2" x14ac:dyDescent="0.25">
      <c r="A6" s="153" t="s">
        <v>60</v>
      </c>
      <c r="B6" s="158" t="str" cm="1">
        <f t="array" ref="B6">IFERROR(_xlfn.XLOOKUP(TRIM(B2&amp;""), TRIM(Monitores[ACTIVO FIJO]&amp;""), Monitores[MARCA]),"")</f>
        <v>EDAN</v>
      </c>
    </row>
    <row r="7" spans="1:2" x14ac:dyDescent="0.25">
      <c r="A7" s="153" t="s">
        <v>58</v>
      </c>
      <c r="B7" s="158" t="str" cm="1">
        <f t="array" ref="B7">IFERROR(_xlfn.XLOOKUP(TRIM(B2&amp;""), TRIM(Monitores[ACTIVO FIJO]&amp;""), Monitores[MODELO]),"")</f>
        <v>M50</v>
      </c>
    </row>
    <row r="8" spans="1:2" x14ac:dyDescent="0.25">
      <c r="A8" s="153" t="s">
        <v>61</v>
      </c>
      <c r="B8" s="158" t="str" cm="1">
        <f t="array" ref="B8">IFERROR(_xlfn.XLOOKUP(TRIM(B2&amp;""), TRIM(Monitores[ACTIVO FIJO]&amp;""), Monitores[SERIE]),"")</f>
        <v>333123-M14102120037</v>
      </c>
    </row>
    <row r="9" spans="1:2" x14ac:dyDescent="0.25">
      <c r="A9" s="153" t="s">
        <v>62</v>
      </c>
      <c r="B9" s="158" t="str" cm="1">
        <f t="array" ref="B9">IFERROR(_xlfn.XLOOKUP(TRIM(B2&amp;""), TRIM(Monitores[ACTIVO FIJO]&amp;""), Monitores[SERVICIO]),"")</f>
        <v>URGENCIAS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CBB333-3A16-422F-AECB-14B051908FF5}">
  <dimension ref="A1:J250"/>
  <sheetViews>
    <sheetView topLeftCell="A20" workbookViewId="0">
      <selection activeCell="A24" sqref="A23:A24"/>
    </sheetView>
  </sheetViews>
  <sheetFormatPr baseColWidth="10" defaultRowHeight="15" x14ac:dyDescent="0.25"/>
  <cols>
    <col min="1" max="1" width="19.42578125" style="157" customWidth="1"/>
    <col min="2" max="6" width="19.42578125" customWidth="1"/>
    <col min="10" max="10" width="26.85546875" customWidth="1"/>
  </cols>
  <sheetData>
    <row r="1" spans="1:10" ht="15.75" thickBot="1" x14ac:dyDescent="0.3">
      <c r="A1" s="137" t="s">
        <v>59</v>
      </c>
      <c r="B1" s="135" t="s">
        <v>57</v>
      </c>
      <c r="C1" s="136" t="s">
        <v>60</v>
      </c>
      <c r="D1" s="136" t="s">
        <v>58</v>
      </c>
      <c r="E1" s="137" t="s">
        <v>61</v>
      </c>
      <c r="F1" s="138" t="s">
        <v>67</v>
      </c>
    </row>
    <row r="2" spans="1:10" x14ac:dyDescent="0.25">
      <c r="A2" s="117" t="s">
        <v>72</v>
      </c>
      <c r="B2" s="125" t="s">
        <v>68</v>
      </c>
      <c r="C2" s="115" t="s">
        <v>69</v>
      </c>
      <c r="D2" s="115" t="s">
        <v>70</v>
      </c>
      <c r="E2" s="116" t="s">
        <v>71</v>
      </c>
      <c r="F2" s="132" t="s">
        <v>80</v>
      </c>
    </row>
    <row r="3" spans="1:10" x14ac:dyDescent="0.25">
      <c r="A3" s="117">
        <v>549358</v>
      </c>
      <c r="B3" s="125" t="s">
        <v>68</v>
      </c>
      <c r="C3" s="115" t="s">
        <v>69</v>
      </c>
      <c r="D3" s="115" t="s">
        <v>73</v>
      </c>
      <c r="E3" s="116" t="s">
        <v>74</v>
      </c>
      <c r="F3" s="132" t="s">
        <v>80</v>
      </c>
    </row>
    <row r="4" spans="1:10" x14ac:dyDescent="0.25">
      <c r="A4" s="117">
        <v>549360</v>
      </c>
      <c r="B4" s="125" t="s">
        <v>68</v>
      </c>
      <c r="C4" s="115" t="s">
        <v>69</v>
      </c>
      <c r="D4" s="115" t="s">
        <v>73</v>
      </c>
      <c r="E4" s="116" t="s">
        <v>75</v>
      </c>
      <c r="F4" s="132" t="s">
        <v>80</v>
      </c>
      <c r="I4" t="s">
        <v>493</v>
      </c>
      <c r="J4" s="114">
        <v>571126</v>
      </c>
    </row>
    <row r="5" spans="1:10" x14ac:dyDescent="0.25">
      <c r="A5" s="117">
        <v>569821</v>
      </c>
      <c r="B5" s="125" t="s">
        <v>68</v>
      </c>
      <c r="C5" s="115" t="s">
        <v>69</v>
      </c>
      <c r="D5" s="115" t="s">
        <v>76</v>
      </c>
      <c r="E5" s="116" t="s">
        <v>77</v>
      </c>
      <c r="F5" s="132" t="s">
        <v>80</v>
      </c>
    </row>
    <row r="6" spans="1:10" x14ac:dyDescent="0.25">
      <c r="A6" s="117" t="s">
        <v>79</v>
      </c>
      <c r="B6" s="125" t="s">
        <v>68</v>
      </c>
      <c r="C6" s="115" t="s">
        <v>69</v>
      </c>
      <c r="D6" s="115" t="s">
        <v>70</v>
      </c>
      <c r="E6" s="116" t="s">
        <v>78</v>
      </c>
      <c r="F6" s="132" t="s">
        <v>80</v>
      </c>
      <c r="I6" t="s">
        <v>59</v>
      </c>
      <c r="J6" s="114" t="str">
        <f>_xlfn.XLOOKUP(J4&amp;"",Monitores[ACTIVO FIJO],Monitores[ACTIVO FIJO],TRUE)</f>
        <v>571126</v>
      </c>
    </row>
    <row r="7" spans="1:10" ht="38.25" x14ac:dyDescent="0.25">
      <c r="A7" s="117" t="s">
        <v>84</v>
      </c>
      <c r="B7" s="126" t="s">
        <v>491</v>
      </c>
      <c r="C7" s="115" t="s">
        <v>81</v>
      </c>
      <c r="D7" s="115" t="s">
        <v>82</v>
      </c>
      <c r="E7" s="116" t="s">
        <v>83</v>
      </c>
      <c r="F7" s="132" t="s">
        <v>85</v>
      </c>
      <c r="J7" t="str">
        <f>_xlfn.XLOOKUP(J4&amp;"",Monitores[ACTIVO FIJO],Monitores[EQUIPO],TRUE)</f>
        <v>MONITOR DE SIGNOS VITALES</v>
      </c>
    </row>
    <row r="8" spans="1:10" ht="51" x14ac:dyDescent="0.25">
      <c r="A8" s="117" t="s">
        <v>90</v>
      </c>
      <c r="B8" s="125" t="s">
        <v>86</v>
      </c>
      <c r="C8" s="115" t="s">
        <v>87</v>
      </c>
      <c r="D8" s="115" t="s">
        <v>88</v>
      </c>
      <c r="E8" s="116" t="s">
        <v>89</v>
      </c>
      <c r="F8" s="132" t="s">
        <v>103</v>
      </c>
      <c r="J8" t="str">
        <f>_xlfn.XLOOKUP(J4&amp;"",Monitores[ACTIVO FIJO],Monitores[MARCA],TRUE)</f>
        <v>MINDAY</v>
      </c>
    </row>
    <row r="9" spans="1:10" ht="51" x14ac:dyDescent="0.25">
      <c r="A9" s="120">
        <v>545713</v>
      </c>
      <c r="B9" s="127" t="s">
        <v>86</v>
      </c>
      <c r="C9" s="118" t="s">
        <v>91</v>
      </c>
      <c r="D9" s="118" t="s">
        <v>92</v>
      </c>
      <c r="E9" s="119" t="s">
        <v>93</v>
      </c>
      <c r="F9" s="133" t="s">
        <v>104</v>
      </c>
      <c r="J9" t="str">
        <f>_xlfn.XLOOKUP(J4&amp;"",Monitores[ACTIVO FIJO],Monitores[MODELO],TRUE)</f>
        <v>uMEC 10</v>
      </c>
    </row>
    <row r="10" spans="1:10" ht="51" x14ac:dyDescent="0.25">
      <c r="A10" s="120">
        <v>545718</v>
      </c>
      <c r="B10" s="127" t="s">
        <v>86</v>
      </c>
      <c r="C10" s="118" t="s">
        <v>91</v>
      </c>
      <c r="D10" s="118" t="s">
        <v>92</v>
      </c>
      <c r="E10" s="119" t="s">
        <v>94</v>
      </c>
      <c r="F10" s="133" t="s">
        <v>104</v>
      </c>
      <c r="J10" t="str">
        <f>_xlfn.XLOOKUP(J4&amp;"",Monitores[ACTIVO FIJO],Monitores[SERIE],TRUE)</f>
        <v>KN-45223120</v>
      </c>
    </row>
    <row r="11" spans="1:10" ht="51" x14ac:dyDescent="0.25">
      <c r="A11" s="117">
        <v>545711</v>
      </c>
      <c r="B11" s="125" t="s">
        <v>86</v>
      </c>
      <c r="C11" s="115" t="s">
        <v>95</v>
      </c>
      <c r="D11" s="115" t="s">
        <v>96</v>
      </c>
      <c r="E11" s="116" t="s">
        <v>97</v>
      </c>
      <c r="F11" s="132" t="s">
        <v>105</v>
      </c>
      <c r="J11" t="str">
        <f>_xlfn.XLOOKUP(J4&amp;"",Monitores[ACTIVO FIJO],Monitores[SERVICIO],TRUE)</f>
        <v>HOSPITALIZACIÓN PEDIATRÍA (Ruta Dorada)</v>
      </c>
    </row>
    <row r="12" spans="1:10" ht="51" x14ac:dyDescent="0.25">
      <c r="A12" s="117">
        <v>545712</v>
      </c>
      <c r="B12" s="125" t="s">
        <v>86</v>
      </c>
      <c r="C12" s="115" t="s">
        <v>95</v>
      </c>
      <c r="D12" s="115" t="s">
        <v>96</v>
      </c>
      <c r="E12" s="116" t="s">
        <v>98</v>
      </c>
      <c r="F12" s="132" t="s">
        <v>105</v>
      </c>
    </row>
    <row r="13" spans="1:10" ht="51" x14ac:dyDescent="0.25">
      <c r="A13" s="117">
        <v>547476</v>
      </c>
      <c r="B13" s="125" t="s">
        <v>86</v>
      </c>
      <c r="C13" s="115" t="s">
        <v>87</v>
      </c>
      <c r="D13" s="115" t="s">
        <v>99</v>
      </c>
      <c r="E13" s="116" t="s">
        <v>100</v>
      </c>
      <c r="F13" s="132" t="s">
        <v>106</v>
      </c>
    </row>
    <row r="14" spans="1:10" ht="51" x14ac:dyDescent="0.25">
      <c r="A14" s="117">
        <v>574122</v>
      </c>
      <c r="B14" s="125" t="s">
        <v>86</v>
      </c>
      <c r="C14" s="115" t="s">
        <v>95</v>
      </c>
      <c r="D14" s="115" t="s">
        <v>101</v>
      </c>
      <c r="E14" s="116" t="s">
        <v>102</v>
      </c>
      <c r="F14" s="132" t="s">
        <v>106</v>
      </c>
    </row>
    <row r="15" spans="1:10" ht="25.5" x14ac:dyDescent="0.25">
      <c r="A15" s="117" t="s">
        <v>110</v>
      </c>
      <c r="B15" s="125" t="s">
        <v>491</v>
      </c>
      <c r="C15" s="115" t="s">
        <v>107</v>
      </c>
      <c r="D15" s="115" t="s">
        <v>108</v>
      </c>
      <c r="E15" s="116" t="s">
        <v>109</v>
      </c>
      <c r="F15" s="132" t="s">
        <v>473</v>
      </c>
    </row>
    <row r="16" spans="1:10" ht="25.5" x14ac:dyDescent="0.25">
      <c r="A16" s="117">
        <v>549313</v>
      </c>
      <c r="B16" s="126" t="s">
        <v>491</v>
      </c>
      <c r="C16" s="115" t="s">
        <v>111</v>
      </c>
      <c r="D16" s="115" t="s">
        <v>108</v>
      </c>
      <c r="E16" s="116" t="s">
        <v>112</v>
      </c>
      <c r="F16" s="132" t="s">
        <v>80</v>
      </c>
    </row>
    <row r="17" spans="1:6" ht="25.5" x14ac:dyDescent="0.25">
      <c r="A17" s="120" t="s">
        <v>115</v>
      </c>
      <c r="B17" s="127" t="s">
        <v>491</v>
      </c>
      <c r="C17" s="118" t="s">
        <v>95</v>
      </c>
      <c r="D17" s="118" t="s">
        <v>113</v>
      </c>
      <c r="E17" s="119" t="s">
        <v>114</v>
      </c>
      <c r="F17" s="133" t="s">
        <v>80</v>
      </c>
    </row>
    <row r="18" spans="1:6" ht="25.5" x14ac:dyDescent="0.25">
      <c r="A18" s="117">
        <v>541627</v>
      </c>
      <c r="B18" s="126" t="s">
        <v>491</v>
      </c>
      <c r="C18" s="115" t="s">
        <v>116</v>
      </c>
      <c r="D18" s="115" t="s">
        <v>117</v>
      </c>
      <c r="E18" s="116" t="s">
        <v>118</v>
      </c>
      <c r="F18" s="132" t="s">
        <v>80</v>
      </c>
    </row>
    <row r="19" spans="1:6" ht="25.5" x14ac:dyDescent="0.25">
      <c r="A19" s="117" t="s">
        <v>121</v>
      </c>
      <c r="B19" s="126" t="s">
        <v>491</v>
      </c>
      <c r="C19" s="115" t="s">
        <v>95</v>
      </c>
      <c r="D19" s="115" t="s">
        <v>119</v>
      </c>
      <c r="E19" s="116" t="s">
        <v>120</v>
      </c>
      <c r="F19" s="132" t="s">
        <v>80</v>
      </c>
    </row>
    <row r="20" spans="1:6" ht="25.5" x14ac:dyDescent="0.25">
      <c r="A20" s="117" t="s">
        <v>123</v>
      </c>
      <c r="B20" s="125" t="s">
        <v>491</v>
      </c>
      <c r="C20" s="115" t="s">
        <v>95</v>
      </c>
      <c r="D20" s="115" t="s">
        <v>119</v>
      </c>
      <c r="E20" s="116" t="s">
        <v>122</v>
      </c>
      <c r="F20" s="132" t="s">
        <v>80</v>
      </c>
    </row>
    <row r="21" spans="1:6" ht="25.5" x14ac:dyDescent="0.25">
      <c r="A21" s="117" t="s">
        <v>125</v>
      </c>
      <c r="B21" s="126" t="s">
        <v>491</v>
      </c>
      <c r="C21" s="115" t="s">
        <v>95</v>
      </c>
      <c r="D21" s="115" t="s">
        <v>113</v>
      </c>
      <c r="E21" s="116" t="s">
        <v>124</v>
      </c>
      <c r="F21" s="132" t="s">
        <v>80</v>
      </c>
    </row>
    <row r="22" spans="1:6" ht="25.5" x14ac:dyDescent="0.25">
      <c r="A22" s="117">
        <v>573303</v>
      </c>
      <c r="B22" s="126" t="s">
        <v>491</v>
      </c>
      <c r="C22" s="115" t="s">
        <v>126</v>
      </c>
      <c r="D22" s="115" t="s">
        <v>127</v>
      </c>
      <c r="E22" s="116" t="s">
        <v>128</v>
      </c>
      <c r="F22" s="132" t="s">
        <v>474</v>
      </c>
    </row>
    <row r="23" spans="1:6" ht="25.5" x14ac:dyDescent="0.25">
      <c r="A23" s="120">
        <v>545376</v>
      </c>
      <c r="B23" s="127" t="s">
        <v>491</v>
      </c>
      <c r="C23" s="118" t="s">
        <v>107</v>
      </c>
      <c r="D23" s="118" t="s">
        <v>108</v>
      </c>
      <c r="E23" s="119" t="s">
        <v>129</v>
      </c>
      <c r="F23" s="132" t="s">
        <v>475</v>
      </c>
    </row>
    <row r="24" spans="1:6" ht="25.5" x14ac:dyDescent="0.25">
      <c r="A24" s="117">
        <v>542143</v>
      </c>
      <c r="B24" s="126" t="s">
        <v>491</v>
      </c>
      <c r="C24" s="115" t="s">
        <v>91</v>
      </c>
      <c r="D24" s="115" t="s">
        <v>130</v>
      </c>
      <c r="E24" s="116" t="s">
        <v>131</v>
      </c>
      <c r="F24" s="132" t="s">
        <v>475</v>
      </c>
    </row>
    <row r="25" spans="1:6" ht="25.5" x14ac:dyDescent="0.25">
      <c r="A25" s="117">
        <v>545097</v>
      </c>
      <c r="B25" s="126" t="s">
        <v>491</v>
      </c>
      <c r="C25" s="115" t="s">
        <v>95</v>
      </c>
      <c r="D25" s="115" t="s">
        <v>113</v>
      </c>
      <c r="E25" s="116" t="s">
        <v>132</v>
      </c>
      <c r="F25" s="132" t="s">
        <v>475</v>
      </c>
    </row>
    <row r="26" spans="1:6" ht="25.5" x14ac:dyDescent="0.25">
      <c r="A26" s="117">
        <v>545375</v>
      </c>
      <c r="B26" s="126" t="s">
        <v>491</v>
      </c>
      <c r="C26" s="115" t="s">
        <v>107</v>
      </c>
      <c r="D26" s="115" t="s">
        <v>108</v>
      </c>
      <c r="E26" s="116" t="s">
        <v>133</v>
      </c>
      <c r="F26" s="132" t="s">
        <v>475</v>
      </c>
    </row>
    <row r="27" spans="1:6" ht="25.5" x14ac:dyDescent="0.25">
      <c r="A27" s="117">
        <v>545695</v>
      </c>
      <c r="B27" s="126" t="s">
        <v>491</v>
      </c>
      <c r="C27" s="115" t="s">
        <v>107</v>
      </c>
      <c r="D27" s="115" t="s">
        <v>108</v>
      </c>
      <c r="E27" s="116" t="s">
        <v>134</v>
      </c>
      <c r="F27" s="132" t="s">
        <v>475</v>
      </c>
    </row>
    <row r="28" spans="1:6" ht="25.5" x14ac:dyDescent="0.25">
      <c r="A28" s="117">
        <v>545696</v>
      </c>
      <c r="B28" s="126" t="s">
        <v>491</v>
      </c>
      <c r="C28" s="115" t="s">
        <v>107</v>
      </c>
      <c r="D28" s="115" t="s">
        <v>108</v>
      </c>
      <c r="E28" s="116" t="s">
        <v>135</v>
      </c>
      <c r="F28" s="132" t="s">
        <v>475</v>
      </c>
    </row>
    <row r="29" spans="1:6" ht="25.5" x14ac:dyDescent="0.25">
      <c r="A29" s="117" t="s">
        <v>137</v>
      </c>
      <c r="B29" s="126" t="s">
        <v>491</v>
      </c>
      <c r="C29" s="115" t="s">
        <v>95</v>
      </c>
      <c r="D29" s="115" t="s">
        <v>113</v>
      </c>
      <c r="E29" s="116" t="s">
        <v>136</v>
      </c>
      <c r="F29" s="132" t="s">
        <v>80</v>
      </c>
    </row>
    <row r="30" spans="1:6" ht="25.5" x14ac:dyDescent="0.25">
      <c r="A30" s="117" t="s">
        <v>139</v>
      </c>
      <c r="B30" s="126" t="s">
        <v>491</v>
      </c>
      <c r="C30" s="115" t="s">
        <v>95</v>
      </c>
      <c r="D30" s="115" t="s">
        <v>113</v>
      </c>
      <c r="E30" s="116" t="s">
        <v>138</v>
      </c>
      <c r="F30" s="132" t="s">
        <v>80</v>
      </c>
    </row>
    <row r="31" spans="1:6" ht="25.5" x14ac:dyDescent="0.25">
      <c r="A31" s="117" t="s">
        <v>141</v>
      </c>
      <c r="B31" s="126" t="s">
        <v>491</v>
      </c>
      <c r="C31" s="115" t="s">
        <v>95</v>
      </c>
      <c r="D31" s="115" t="s">
        <v>113</v>
      </c>
      <c r="E31" s="116" t="s">
        <v>140</v>
      </c>
      <c r="F31" s="132" t="s">
        <v>80</v>
      </c>
    </row>
    <row r="32" spans="1:6" ht="25.5" x14ac:dyDescent="0.25">
      <c r="A32" s="117" t="s">
        <v>143</v>
      </c>
      <c r="B32" s="126" t="s">
        <v>491</v>
      </c>
      <c r="C32" s="115" t="s">
        <v>95</v>
      </c>
      <c r="D32" s="115" t="s">
        <v>113</v>
      </c>
      <c r="E32" s="116" t="s">
        <v>142</v>
      </c>
      <c r="F32" s="132" t="s">
        <v>80</v>
      </c>
    </row>
    <row r="33" spans="1:6" ht="25.5" x14ac:dyDescent="0.25">
      <c r="A33" s="117" t="s">
        <v>145</v>
      </c>
      <c r="B33" s="126" t="s">
        <v>491</v>
      </c>
      <c r="C33" s="115" t="s">
        <v>95</v>
      </c>
      <c r="D33" s="115" t="s">
        <v>113</v>
      </c>
      <c r="E33" s="116" t="s">
        <v>144</v>
      </c>
      <c r="F33" s="132" t="s">
        <v>80</v>
      </c>
    </row>
    <row r="34" spans="1:6" ht="25.5" x14ac:dyDescent="0.25">
      <c r="A34" s="117" t="s">
        <v>147</v>
      </c>
      <c r="B34" s="126" t="s">
        <v>491</v>
      </c>
      <c r="C34" s="115" t="s">
        <v>95</v>
      </c>
      <c r="D34" s="115" t="s">
        <v>113</v>
      </c>
      <c r="E34" s="116" t="s">
        <v>146</v>
      </c>
      <c r="F34" s="132" t="s">
        <v>80</v>
      </c>
    </row>
    <row r="35" spans="1:6" ht="25.5" x14ac:dyDescent="0.25">
      <c r="A35" s="117" t="s">
        <v>149</v>
      </c>
      <c r="B35" s="126" t="s">
        <v>491</v>
      </c>
      <c r="C35" s="115" t="s">
        <v>95</v>
      </c>
      <c r="D35" s="115" t="s">
        <v>113</v>
      </c>
      <c r="E35" s="116" t="s">
        <v>148</v>
      </c>
      <c r="F35" s="132" t="s">
        <v>80</v>
      </c>
    </row>
    <row r="36" spans="1:6" ht="25.5" x14ac:dyDescent="0.25">
      <c r="A36" s="117">
        <v>549963</v>
      </c>
      <c r="B36" s="126" t="s">
        <v>491</v>
      </c>
      <c r="C36" s="115" t="s">
        <v>107</v>
      </c>
      <c r="D36" s="115" t="s">
        <v>150</v>
      </c>
      <c r="E36" s="116" t="s">
        <v>151</v>
      </c>
      <c r="F36" s="132" t="s">
        <v>476</v>
      </c>
    </row>
    <row r="37" spans="1:6" ht="25.5" x14ac:dyDescent="0.25">
      <c r="A37" s="124">
        <v>549962</v>
      </c>
      <c r="B37" s="128" t="s">
        <v>491</v>
      </c>
      <c r="C37" s="121" t="s">
        <v>107</v>
      </c>
      <c r="D37" s="121" t="s">
        <v>150</v>
      </c>
      <c r="E37" s="122" t="s">
        <v>152</v>
      </c>
      <c r="F37" s="134" t="s">
        <v>476</v>
      </c>
    </row>
    <row r="38" spans="1:6" ht="25.5" x14ac:dyDescent="0.25">
      <c r="A38" s="117" t="s">
        <v>154</v>
      </c>
      <c r="B38" s="125" t="s">
        <v>491</v>
      </c>
      <c r="C38" s="115" t="s">
        <v>95</v>
      </c>
      <c r="D38" s="115" t="s">
        <v>117</v>
      </c>
      <c r="E38" s="116" t="s">
        <v>153</v>
      </c>
      <c r="F38" s="132" t="s">
        <v>477</v>
      </c>
    </row>
    <row r="39" spans="1:6" ht="25.5" x14ac:dyDescent="0.25">
      <c r="A39" s="117" t="s">
        <v>157</v>
      </c>
      <c r="B39" s="125" t="s">
        <v>491</v>
      </c>
      <c r="C39" s="115" t="s">
        <v>107</v>
      </c>
      <c r="D39" s="115" t="s">
        <v>155</v>
      </c>
      <c r="E39" s="116" t="s">
        <v>156</v>
      </c>
      <c r="F39" s="132" t="s">
        <v>477</v>
      </c>
    </row>
    <row r="40" spans="1:6" ht="25.5" x14ac:dyDescent="0.25">
      <c r="A40" s="117" t="s">
        <v>159</v>
      </c>
      <c r="B40" s="125" t="s">
        <v>491</v>
      </c>
      <c r="C40" s="115" t="s">
        <v>107</v>
      </c>
      <c r="D40" s="115" t="s">
        <v>155</v>
      </c>
      <c r="E40" s="116" t="s">
        <v>158</v>
      </c>
      <c r="F40" s="132" t="s">
        <v>477</v>
      </c>
    </row>
    <row r="41" spans="1:6" ht="25.5" x14ac:dyDescent="0.25">
      <c r="A41" s="117" t="s">
        <v>161</v>
      </c>
      <c r="B41" s="125" t="s">
        <v>491</v>
      </c>
      <c r="C41" s="115" t="s">
        <v>107</v>
      </c>
      <c r="D41" s="115" t="s">
        <v>155</v>
      </c>
      <c r="E41" s="116" t="s">
        <v>160</v>
      </c>
      <c r="F41" s="132" t="s">
        <v>477</v>
      </c>
    </row>
    <row r="42" spans="1:6" ht="25.5" x14ac:dyDescent="0.25">
      <c r="A42" s="117" t="s">
        <v>163</v>
      </c>
      <c r="B42" s="126" t="s">
        <v>491</v>
      </c>
      <c r="C42" s="115" t="s">
        <v>107</v>
      </c>
      <c r="D42" s="115" t="s">
        <v>155</v>
      </c>
      <c r="E42" s="116" t="s">
        <v>162</v>
      </c>
      <c r="F42" s="132" t="s">
        <v>477</v>
      </c>
    </row>
    <row r="43" spans="1:6" ht="25.5" x14ac:dyDescent="0.25">
      <c r="A43" s="120">
        <v>514989</v>
      </c>
      <c r="B43" s="127" t="s">
        <v>491</v>
      </c>
      <c r="C43" s="118" t="s">
        <v>91</v>
      </c>
      <c r="D43" s="118" t="s">
        <v>130</v>
      </c>
      <c r="E43" s="119">
        <v>3926</v>
      </c>
      <c r="F43" s="133" t="s">
        <v>478</v>
      </c>
    </row>
    <row r="44" spans="1:6" ht="25.5" x14ac:dyDescent="0.25">
      <c r="A44" s="120">
        <v>573301</v>
      </c>
      <c r="B44" s="127" t="s">
        <v>491</v>
      </c>
      <c r="C44" s="118" t="s">
        <v>126</v>
      </c>
      <c r="D44" s="118" t="s">
        <v>127</v>
      </c>
      <c r="E44" s="119" t="s">
        <v>164</v>
      </c>
      <c r="F44" s="133" t="s">
        <v>478</v>
      </c>
    </row>
    <row r="45" spans="1:6" ht="25.5" x14ac:dyDescent="0.25">
      <c r="A45" s="120">
        <v>549985</v>
      </c>
      <c r="B45" s="127" t="s">
        <v>491</v>
      </c>
      <c r="C45" s="118" t="s">
        <v>107</v>
      </c>
      <c r="D45" s="118" t="s">
        <v>108</v>
      </c>
      <c r="E45" s="119" t="s">
        <v>165</v>
      </c>
      <c r="F45" s="132" t="s">
        <v>479</v>
      </c>
    </row>
    <row r="46" spans="1:6" ht="25.5" x14ac:dyDescent="0.25">
      <c r="A46" s="117" t="s">
        <v>167</v>
      </c>
      <c r="B46" s="126" t="s">
        <v>491</v>
      </c>
      <c r="C46" s="115" t="s">
        <v>107</v>
      </c>
      <c r="D46" s="115" t="s">
        <v>108</v>
      </c>
      <c r="E46" s="116" t="s">
        <v>166</v>
      </c>
      <c r="F46" s="132" t="s">
        <v>479</v>
      </c>
    </row>
    <row r="47" spans="1:6" ht="25.5" x14ac:dyDescent="0.25">
      <c r="A47" s="117" t="s">
        <v>169</v>
      </c>
      <c r="B47" s="126" t="s">
        <v>491</v>
      </c>
      <c r="C47" s="115" t="s">
        <v>91</v>
      </c>
      <c r="D47" s="115" t="s">
        <v>130</v>
      </c>
      <c r="E47" s="116" t="s">
        <v>168</v>
      </c>
      <c r="F47" s="132" t="s">
        <v>479</v>
      </c>
    </row>
    <row r="48" spans="1:6" ht="25.5" x14ac:dyDescent="0.25">
      <c r="A48" s="117" t="s">
        <v>171</v>
      </c>
      <c r="B48" s="126" t="s">
        <v>491</v>
      </c>
      <c r="C48" s="115" t="s">
        <v>107</v>
      </c>
      <c r="D48" s="115" t="s">
        <v>108</v>
      </c>
      <c r="E48" s="116" t="s">
        <v>170</v>
      </c>
      <c r="F48" s="132" t="s">
        <v>479</v>
      </c>
    </row>
    <row r="49" spans="1:6" ht="25.5" x14ac:dyDescent="0.25">
      <c r="A49" s="117" t="s">
        <v>173</v>
      </c>
      <c r="B49" s="126" t="s">
        <v>491</v>
      </c>
      <c r="C49" s="115" t="s">
        <v>107</v>
      </c>
      <c r="D49" s="115" t="s">
        <v>108</v>
      </c>
      <c r="E49" s="116" t="s">
        <v>172</v>
      </c>
      <c r="F49" s="132" t="s">
        <v>479</v>
      </c>
    </row>
    <row r="50" spans="1:6" ht="25.5" x14ac:dyDescent="0.25">
      <c r="A50" s="117" t="s">
        <v>175</v>
      </c>
      <c r="B50" s="126" t="s">
        <v>491</v>
      </c>
      <c r="C50" s="115" t="s">
        <v>107</v>
      </c>
      <c r="D50" s="115" t="s">
        <v>108</v>
      </c>
      <c r="E50" s="116" t="s">
        <v>174</v>
      </c>
      <c r="F50" s="132" t="s">
        <v>479</v>
      </c>
    </row>
    <row r="51" spans="1:6" ht="30" x14ac:dyDescent="0.25">
      <c r="A51" s="117" t="s">
        <v>178</v>
      </c>
      <c r="B51" s="125" t="s">
        <v>491</v>
      </c>
      <c r="C51" s="115" t="s">
        <v>176</v>
      </c>
      <c r="D51" s="115">
        <v>8715</v>
      </c>
      <c r="E51" s="116" t="s">
        <v>177</v>
      </c>
      <c r="F51" s="132" t="s">
        <v>479</v>
      </c>
    </row>
    <row r="52" spans="1:6" ht="25.5" x14ac:dyDescent="0.25">
      <c r="A52" s="117" t="s">
        <v>180</v>
      </c>
      <c r="B52" s="126" t="s">
        <v>491</v>
      </c>
      <c r="C52" s="115" t="s">
        <v>95</v>
      </c>
      <c r="D52" s="115" t="s">
        <v>117</v>
      </c>
      <c r="E52" s="116" t="s">
        <v>179</v>
      </c>
      <c r="F52" s="132" t="s">
        <v>480</v>
      </c>
    </row>
    <row r="53" spans="1:6" ht="25.5" x14ac:dyDescent="0.25">
      <c r="A53" s="117" t="s">
        <v>182</v>
      </c>
      <c r="B53" s="125" t="s">
        <v>491</v>
      </c>
      <c r="C53" s="115" t="s">
        <v>95</v>
      </c>
      <c r="D53" s="115" t="s">
        <v>117</v>
      </c>
      <c r="E53" s="116" t="s">
        <v>181</v>
      </c>
      <c r="F53" s="132" t="s">
        <v>480</v>
      </c>
    </row>
    <row r="54" spans="1:6" ht="25.5" x14ac:dyDescent="0.25">
      <c r="A54" s="120">
        <v>542151</v>
      </c>
      <c r="B54" s="127" t="s">
        <v>491</v>
      </c>
      <c r="C54" s="118" t="s">
        <v>91</v>
      </c>
      <c r="D54" s="118" t="s">
        <v>130</v>
      </c>
      <c r="E54" s="119" t="s">
        <v>183</v>
      </c>
      <c r="F54" s="133" t="s">
        <v>481</v>
      </c>
    </row>
    <row r="55" spans="1:6" ht="25.5" x14ac:dyDescent="0.25">
      <c r="A55" s="117" t="s">
        <v>185</v>
      </c>
      <c r="B55" s="126" t="s">
        <v>491</v>
      </c>
      <c r="C55" s="115" t="s">
        <v>95</v>
      </c>
      <c r="D55" s="115" t="s">
        <v>117</v>
      </c>
      <c r="E55" s="116" t="s">
        <v>184</v>
      </c>
      <c r="F55" s="132" t="s">
        <v>481</v>
      </c>
    </row>
    <row r="56" spans="1:6" ht="25.5" x14ac:dyDescent="0.25">
      <c r="A56" s="120" t="s">
        <v>187</v>
      </c>
      <c r="B56" s="127" t="s">
        <v>491</v>
      </c>
      <c r="C56" s="118" t="s">
        <v>91</v>
      </c>
      <c r="D56" s="118" t="s">
        <v>130</v>
      </c>
      <c r="E56" s="119" t="s">
        <v>186</v>
      </c>
      <c r="F56" s="133" t="s">
        <v>481</v>
      </c>
    </row>
    <row r="57" spans="1:6" ht="25.5" x14ac:dyDescent="0.25">
      <c r="A57" s="117" t="s">
        <v>189</v>
      </c>
      <c r="B57" s="129" t="s">
        <v>491</v>
      </c>
      <c r="C57" s="115" t="s">
        <v>95</v>
      </c>
      <c r="D57" s="115" t="s">
        <v>113</v>
      </c>
      <c r="E57" s="116" t="s">
        <v>188</v>
      </c>
      <c r="F57" s="132" t="s">
        <v>482</v>
      </c>
    </row>
    <row r="58" spans="1:6" ht="25.5" x14ac:dyDescent="0.25">
      <c r="A58" s="117">
        <v>545370</v>
      </c>
      <c r="B58" s="126" t="s">
        <v>491</v>
      </c>
      <c r="C58" s="115" t="s">
        <v>107</v>
      </c>
      <c r="D58" s="115" t="s">
        <v>108</v>
      </c>
      <c r="E58" s="116" t="s">
        <v>190</v>
      </c>
      <c r="F58" s="132" t="s">
        <v>483</v>
      </c>
    </row>
    <row r="59" spans="1:6" ht="25.5" x14ac:dyDescent="0.25">
      <c r="A59" s="117" t="s">
        <v>192</v>
      </c>
      <c r="B59" s="126" t="s">
        <v>491</v>
      </c>
      <c r="C59" s="115" t="s">
        <v>107</v>
      </c>
      <c r="D59" s="115" t="s">
        <v>108</v>
      </c>
      <c r="E59" s="116" t="s">
        <v>191</v>
      </c>
      <c r="F59" s="132" t="s">
        <v>483</v>
      </c>
    </row>
    <row r="60" spans="1:6" ht="25.5" x14ac:dyDescent="0.25">
      <c r="A60" s="117" t="s">
        <v>196</v>
      </c>
      <c r="B60" s="125" t="s">
        <v>491</v>
      </c>
      <c r="C60" s="115" t="s">
        <v>193</v>
      </c>
      <c r="D60" s="115" t="s">
        <v>194</v>
      </c>
      <c r="E60" s="116" t="s">
        <v>195</v>
      </c>
      <c r="F60" s="132" t="s">
        <v>483</v>
      </c>
    </row>
    <row r="61" spans="1:6" ht="25.5" x14ac:dyDescent="0.25">
      <c r="A61" s="117">
        <v>549983</v>
      </c>
      <c r="B61" s="125" t="s">
        <v>491</v>
      </c>
      <c r="C61" s="115" t="s">
        <v>107</v>
      </c>
      <c r="D61" s="115" t="s">
        <v>108</v>
      </c>
      <c r="E61" s="116" t="s">
        <v>197</v>
      </c>
      <c r="F61" s="132" t="s">
        <v>483</v>
      </c>
    </row>
    <row r="62" spans="1:6" ht="25.5" x14ac:dyDescent="0.25">
      <c r="A62" s="117">
        <v>573991</v>
      </c>
      <c r="B62" s="125" t="s">
        <v>491</v>
      </c>
      <c r="C62" s="115" t="s">
        <v>107</v>
      </c>
      <c r="D62" s="115" t="s">
        <v>150</v>
      </c>
      <c r="E62" s="116" t="s">
        <v>198</v>
      </c>
      <c r="F62" s="132" t="s">
        <v>483</v>
      </c>
    </row>
    <row r="63" spans="1:6" ht="25.5" x14ac:dyDescent="0.25">
      <c r="A63" s="117" t="s">
        <v>202</v>
      </c>
      <c r="B63" s="125" t="s">
        <v>491</v>
      </c>
      <c r="C63" s="115" t="s">
        <v>199</v>
      </c>
      <c r="D63" s="115" t="s">
        <v>200</v>
      </c>
      <c r="E63" s="116" t="s">
        <v>201</v>
      </c>
      <c r="F63" s="132" t="s">
        <v>483</v>
      </c>
    </row>
    <row r="64" spans="1:6" ht="25.5" x14ac:dyDescent="0.25">
      <c r="A64" s="117">
        <v>573302</v>
      </c>
      <c r="B64" s="126" t="s">
        <v>491</v>
      </c>
      <c r="C64" s="115" t="s">
        <v>126</v>
      </c>
      <c r="D64" s="115" t="s">
        <v>127</v>
      </c>
      <c r="E64" s="116" t="s">
        <v>203</v>
      </c>
      <c r="F64" s="132" t="s">
        <v>484</v>
      </c>
    </row>
    <row r="65" spans="1:6" ht="25.5" x14ac:dyDescent="0.25">
      <c r="A65" s="117" t="s">
        <v>205</v>
      </c>
      <c r="B65" s="126" t="s">
        <v>491</v>
      </c>
      <c r="C65" s="115" t="s">
        <v>107</v>
      </c>
      <c r="D65" s="115" t="s">
        <v>108</v>
      </c>
      <c r="E65" s="116" t="s">
        <v>204</v>
      </c>
      <c r="F65" s="132" t="s">
        <v>484</v>
      </c>
    </row>
    <row r="66" spans="1:6" ht="25.5" x14ac:dyDescent="0.25">
      <c r="A66" s="120" t="s">
        <v>207</v>
      </c>
      <c r="B66" s="127" t="s">
        <v>491</v>
      </c>
      <c r="C66" s="118" t="s">
        <v>107</v>
      </c>
      <c r="D66" s="118" t="s">
        <v>155</v>
      </c>
      <c r="E66" s="119" t="s">
        <v>206</v>
      </c>
      <c r="F66" s="133" t="s">
        <v>477</v>
      </c>
    </row>
    <row r="67" spans="1:6" ht="25.5" x14ac:dyDescent="0.25">
      <c r="A67" s="120">
        <v>540843</v>
      </c>
      <c r="B67" s="127" t="s">
        <v>491</v>
      </c>
      <c r="C67" s="118" t="s">
        <v>199</v>
      </c>
      <c r="D67" s="118" t="s">
        <v>208</v>
      </c>
      <c r="E67" s="119">
        <v>62222046</v>
      </c>
      <c r="F67" s="133" t="s">
        <v>485</v>
      </c>
    </row>
    <row r="68" spans="1:6" ht="25.5" x14ac:dyDescent="0.25">
      <c r="A68" s="120">
        <v>545368</v>
      </c>
      <c r="B68" s="127" t="s">
        <v>491</v>
      </c>
      <c r="C68" s="118" t="s">
        <v>107</v>
      </c>
      <c r="D68" s="118" t="s">
        <v>108</v>
      </c>
      <c r="E68" s="119" t="s">
        <v>209</v>
      </c>
      <c r="F68" s="133" t="s">
        <v>485</v>
      </c>
    </row>
    <row r="69" spans="1:6" ht="25.5" x14ac:dyDescent="0.25">
      <c r="A69" s="120">
        <v>573304</v>
      </c>
      <c r="B69" s="127" t="s">
        <v>491</v>
      </c>
      <c r="C69" s="118" t="s">
        <v>126</v>
      </c>
      <c r="D69" s="118" t="s">
        <v>127</v>
      </c>
      <c r="E69" s="119" t="s">
        <v>210</v>
      </c>
      <c r="F69" s="133" t="s">
        <v>485</v>
      </c>
    </row>
    <row r="70" spans="1:6" ht="25.5" x14ac:dyDescent="0.25">
      <c r="A70" s="120" t="s">
        <v>214</v>
      </c>
      <c r="B70" s="127" t="s">
        <v>491</v>
      </c>
      <c r="C70" s="118" t="s">
        <v>211</v>
      </c>
      <c r="D70" s="118" t="s">
        <v>212</v>
      </c>
      <c r="E70" s="119" t="s">
        <v>213</v>
      </c>
      <c r="F70" s="133" t="s">
        <v>485</v>
      </c>
    </row>
    <row r="71" spans="1:6" ht="25.5" x14ac:dyDescent="0.25">
      <c r="A71" s="120" t="s">
        <v>216</v>
      </c>
      <c r="B71" s="127" t="s">
        <v>491</v>
      </c>
      <c r="C71" s="118" t="s">
        <v>193</v>
      </c>
      <c r="D71" s="118" t="s">
        <v>194</v>
      </c>
      <c r="E71" s="119" t="s">
        <v>215</v>
      </c>
      <c r="F71" s="133" t="s">
        <v>485</v>
      </c>
    </row>
    <row r="72" spans="1:6" ht="25.5" x14ac:dyDescent="0.25">
      <c r="A72" s="120" t="s">
        <v>219</v>
      </c>
      <c r="B72" s="127" t="s">
        <v>491</v>
      </c>
      <c r="C72" s="118" t="s">
        <v>126</v>
      </c>
      <c r="D72" s="118" t="s">
        <v>217</v>
      </c>
      <c r="E72" s="119" t="s">
        <v>218</v>
      </c>
      <c r="F72" s="133" t="s">
        <v>485</v>
      </c>
    </row>
    <row r="73" spans="1:6" ht="25.5" x14ac:dyDescent="0.25">
      <c r="A73" s="120" t="s">
        <v>221</v>
      </c>
      <c r="B73" s="127" t="s">
        <v>491</v>
      </c>
      <c r="C73" s="118" t="s">
        <v>193</v>
      </c>
      <c r="D73" s="118" t="s">
        <v>194</v>
      </c>
      <c r="E73" s="119" t="s">
        <v>220</v>
      </c>
      <c r="F73" s="133" t="s">
        <v>485</v>
      </c>
    </row>
    <row r="74" spans="1:6" ht="25.5" x14ac:dyDescent="0.25">
      <c r="A74" s="123">
        <v>545366</v>
      </c>
      <c r="B74" s="126" t="s">
        <v>491</v>
      </c>
      <c r="C74" s="115" t="s">
        <v>107</v>
      </c>
      <c r="D74" s="115" t="s">
        <v>108</v>
      </c>
      <c r="E74" s="116" t="s">
        <v>222</v>
      </c>
      <c r="F74" s="132" t="s">
        <v>485</v>
      </c>
    </row>
    <row r="75" spans="1:6" ht="25.5" x14ac:dyDescent="0.25">
      <c r="A75" s="123">
        <v>545634</v>
      </c>
      <c r="B75" s="126" t="s">
        <v>491</v>
      </c>
      <c r="C75" s="115" t="s">
        <v>107</v>
      </c>
      <c r="D75" s="115" t="s">
        <v>108</v>
      </c>
      <c r="E75" s="116" t="s">
        <v>223</v>
      </c>
      <c r="F75" s="132" t="s">
        <v>485</v>
      </c>
    </row>
    <row r="76" spans="1:6" ht="25.5" x14ac:dyDescent="0.25">
      <c r="A76" s="123">
        <v>545635</v>
      </c>
      <c r="B76" s="126" t="s">
        <v>491</v>
      </c>
      <c r="C76" s="115" t="s">
        <v>107</v>
      </c>
      <c r="D76" s="115" t="s">
        <v>108</v>
      </c>
      <c r="E76" s="116" t="s">
        <v>224</v>
      </c>
      <c r="F76" s="132" t="s">
        <v>485</v>
      </c>
    </row>
    <row r="77" spans="1:6" ht="25.5" x14ac:dyDescent="0.25">
      <c r="A77" s="123">
        <v>545688</v>
      </c>
      <c r="B77" s="126" t="s">
        <v>491</v>
      </c>
      <c r="C77" s="115" t="s">
        <v>107</v>
      </c>
      <c r="D77" s="115" t="s">
        <v>108</v>
      </c>
      <c r="E77" s="116" t="s">
        <v>225</v>
      </c>
      <c r="F77" s="132" t="s">
        <v>485</v>
      </c>
    </row>
    <row r="78" spans="1:6" ht="25.5" x14ac:dyDescent="0.25">
      <c r="A78" s="123">
        <v>573305</v>
      </c>
      <c r="B78" s="126" t="s">
        <v>491</v>
      </c>
      <c r="C78" s="115" t="s">
        <v>126</v>
      </c>
      <c r="D78" s="115" t="s">
        <v>127</v>
      </c>
      <c r="E78" s="116" t="s">
        <v>226</v>
      </c>
      <c r="F78" s="132" t="s">
        <v>485</v>
      </c>
    </row>
    <row r="79" spans="1:6" ht="25.5" x14ac:dyDescent="0.25">
      <c r="A79" s="123" t="s">
        <v>228</v>
      </c>
      <c r="B79" s="126" t="s">
        <v>491</v>
      </c>
      <c r="C79" s="115" t="s">
        <v>95</v>
      </c>
      <c r="D79" s="115" t="s">
        <v>113</v>
      </c>
      <c r="E79" s="116" t="s">
        <v>227</v>
      </c>
      <c r="F79" s="132" t="s">
        <v>485</v>
      </c>
    </row>
    <row r="80" spans="1:6" ht="25.5" x14ac:dyDescent="0.25">
      <c r="A80" s="123" t="s">
        <v>231</v>
      </c>
      <c r="B80" s="125" t="s">
        <v>491</v>
      </c>
      <c r="C80" s="115" t="s">
        <v>199</v>
      </c>
      <c r="D80" s="115" t="s">
        <v>229</v>
      </c>
      <c r="E80" s="116" t="s">
        <v>230</v>
      </c>
      <c r="F80" s="132" t="s">
        <v>485</v>
      </c>
    </row>
    <row r="81" spans="1:6" ht="25.5" x14ac:dyDescent="0.25">
      <c r="A81" s="123" t="s">
        <v>233</v>
      </c>
      <c r="B81" s="126" t="s">
        <v>491</v>
      </c>
      <c r="C81" s="115" t="s">
        <v>107</v>
      </c>
      <c r="D81" s="115" t="s">
        <v>108</v>
      </c>
      <c r="E81" s="116" t="s">
        <v>232</v>
      </c>
      <c r="F81" s="132" t="s">
        <v>485</v>
      </c>
    </row>
    <row r="82" spans="1:6" ht="25.5" x14ac:dyDescent="0.25">
      <c r="A82" s="123" t="s">
        <v>235</v>
      </c>
      <c r="B82" s="126" t="s">
        <v>491</v>
      </c>
      <c r="C82" s="115" t="s">
        <v>95</v>
      </c>
      <c r="D82" s="115" t="s">
        <v>113</v>
      </c>
      <c r="E82" s="116" t="s">
        <v>234</v>
      </c>
      <c r="F82" s="132" t="s">
        <v>486</v>
      </c>
    </row>
    <row r="83" spans="1:6" ht="25.5" x14ac:dyDescent="0.25">
      <c r="A83" s="117">
        <v>573990</v>
      </c>
      <c r="B83" s="126" t="s">
        <v>491</v>
      </c>
      <c r="C83" s="115" t="s">
        <v>107</v>
      </c>
      <c r="D83" s="115" t="s">
        <v>150</v>
      </c>
      <c r="E83" s="116" t="s">
        <v>236</v>
      </c>
      <c r="F83" s="132" t="s">
        <v>487</v>
      </c>
    </row>
    <row r="84" spans="1:6" ht="25.5" x14ac:dyDescent="0.25">
      <c r="A84" s="123" t="s">
        <v>238</v>
      </c>
      <c r="B84" s="126" t="s">
        <v>491</v>
      </c>
      <c r="C84" s="115" t="s">
        <v>107</v>
      </c>
      <c r="D84" s="115" t="s">
        <v>108</v>
      </c>
      <c r="E84" s="116" t="s">
        <v>237</v>
      </c>
      <c r="F84" s="132" t="s">
        <v>487</v>
      </c>
    </row>
    <row r="85" spans="1:6" ht="25.5" x14ac:dyDescent="0.25">
      <c r="A85" s="117" t="s">
        <v>240</v>
      </c>
      <c r="B85" s="126" t="s">
        <v>491</v>
      </c>
      <c r="C85" s="115" t="s">
        <v>95</v>
      </c>
      <c r="D85" s="115" t="s">
        <v>113</v>
      </c>
      <c r="E85" s="116" t="s">
        <v>239</v>
      </c>
      <c r="F85" s="132" t="s">
        <v>80</v>
      </c>
    </row>
    <row r="86" spans="1:6" ht="25.5" x14ac:dyDescent="0.25">
      <c r="A86" s="117" t="s">
        <v>242</v>
      </c>
      <c r="B86" s="126" t="s">
        <v>491</v>
      </c>
      <c r="C86" s="115" t="s">
        <v>111</v>
      </c>
      <c r="D86" s="115" t="s">
        <v>108</v>
      </c>
      <c r="E86" s="116" t="s">
        <v>241</v>
      </c>
      <c r="F86" s="132" t="s">
        <v>80</v>
      </c>
    </row>
    <row r="87" spans="1:6" ht="25.5" x14ac:dyDescent="0.25">
      <c r="A87" s="117">
        <v>545378</v>
      </c>
      <c r="B87" s="126" t="s">
        <v>491</v>
      </c>
      <c r="C87" s="115" t="s">
        <v>107</v>
      </c>
      <c r="D87" s="115" t="s">
        <v>108</v>
      </c>
      <c r="E87" s="116" t="s">
        <v>243</v>
      </c>
      <c r="F87" s="132" t="s">
        <v>488</v>
      </c>
    </row>
    <row r="88" spans="1:6" ht="25.5" x14ac:dyDescent="0.25">
      <c r="A88" s="117">
        <v>545689</v>
      </c>
      <c r="B88" s="126" t="s">
        <v>491</v>
      </c>
      <c r="C88" s="115" t="s">
        <v>107</v>
      </c>
      <c r="D88" s="115" t="s">
        <v>108</v>
      </c>
      <c r="E88" s="116" t="s">
        <v>244</v>
      </c>
      <c r="F88" s="132" t="s">
        <v>488</v>
      </c>
    </row>
    <row r="89" spans="1:6" ht="25.5" x14ac:dyDescent="0.25">
      <c r="A89" s="117">
        <v>545690</v>
      </c>
      <c r="B89" s="126" t="s">
        <v>491</v>
      </c>
      <c r="C89" s="115" t="s">
        <v>107</v>
      </c>
      <c r="D89" s="115" t="s">
        <v>108</v>
      </c>
      <c r="E89" s="116" t="s">
        <v>245</v>
      </c>
      <c r="F89" s="132" t="s">
        <v>488</v>
      </c>
    </row>
    <row r="90" spans="1:6" ht="25.5" x14ac:dyDescent="0.25">
      <c r="A90" s="117">
        <v>545692</v>
      </c>
      <c r="B90" s="126" t="s">
        <v>491</v>
      </c>
      <c r="C90" s="115" t="s">
        <v>107</v>
      </c>
      <c r="D90" s="115" t="s">
        <v>108</v>
      </c>
      <c r="E90" s="116" t="s">
        <v>246</v>
      </c>
      <c r="F90" s="132" t="s">
        <v>488</v>
      </c>
    </row>
    <row r="91" spans="1:6" ht="25.5" x14ac:dyDescent="0.25">
      <c r="A91" s="117" t="s">
        <v>248</v>
      </c>
      <c r="B91" s="126" t="s">
        <v>491</v>
      </c>
      <c r="C91" s="115" t="s">
        <v>95</v>
      </c>
      <c r="D91" s="115" t="s">
        <v>113</v>
      </c>
      <c r="E91" s="116" t="s">
        <v>247</v>
      </c>
      <c r="F91" s="132" t="s">
        <v>488</v>
      </c>
    </row>
    <row r="92" spans="1:6" ht="25.5" x14ac:dyDescent="0.25">
      <c r="A92" s="117" t="s">
        <v>250</v>
      </c>
      <c r="B92" s="125" t="s">
        <v>491</v>
      </c>
      <c r="C92" s="115" t="s">
        <v>107</v>
      </c>
      <c r="D92" s="115" t="s">
        <v>108</v>
      </c>
      <c r="E92" s="116" t="s">
        <v>249</v>
      </c>
      <c r="F92" s="132" t="s">
        <v>488</v>
      </c>
    </row>
    <row r="93" spans="1:6" ht="25.5" x14ac:dyDescent="0.25">
      <c r="A93" s="117" t="s">
        <v>252</v>
      </c>
      <c r="B93" s="126" t="s">
        <v>491</v>
      </c>
      <c r="C93" s="115" t="s">
        <v>107</v>
      </c>
      <c r="D93" s="115" t="s">
        <v>108</v>
      </c>
      <c r="E93" s="116" t="s">
        <v>251</v>
      </c>
      <c r="F93" s="132" t="s">
        <v>488</v>
      </c>
    </row>
    <row r="94" spans="1:6" ht="25.5" x14ac:dyDescent="0.25">
      <c r="A94" s="124">
        <v>545623</v>
      </c>
      <c r="B94" s="130" t="s">
        <v>492</v>
      </c>
      <c r="C94" s="121" t="s">
        <v>107</v>
      </c>
      <c r="D94" s="121" t="s">
        <v>253</v>
      </c>
      <c r="E94" s="122" t="s">
        <v>254</v>
      </c>
      <c r="F94" s="134" t="s">
        <v>80</v>
      </c>
    </row>
    <row r="95" spans="1:6" ht="25.5" x14ac:dyDescent="0.25">
      <c r="A95" s="117">
        <v>549312</v>
      </c>
      <c r="B95" s="126" t="s">
        <v>492</v>
      </c>
      <c r="C95" s="115" t="s">
        <v>95</v>
      </c>
      <c r="D95" s="115" t="s">
        <v>255</v>
      </c>
      <c r="E95" s="116" t="s">
        <v>256</v>
      </c>
      <c r="F95" s="132" t="s">
        <v>80</v>
      </c>
    </row>
    <row r="96" spans="1:6" ht="25.5" x14ac:dyDescent="0.25">
      <c r="A96" s="117">
        <v>573321</v>
      </c>
      <c r="B96" s="126" t="s">
        <v>492</v>
      </c>
      <c r="C96" s="115" t="s">
        <v>107</v>
      </c>
      <c r="D96" s="115" t="s">
        <v>257</v>
      </c>
      <c r="E96" s="116" t="s">
        <v>258</v>
      </c>
      <c r="F96" s="132" t="s">
        <v>80</v>
      </c>
    </row>
    <row r="97" spans="1:6" ht="25.5" x14ac:dyDescent="0.25">
      <c r="A97" s="117">
        <v>573331</v>
      </c>
      <c r="B97" s="126" t="s">
        <v>492</v>
      </c>
      <c r="C97" s="115" t="s">
        <v>107</v>
      </c>
      <c r="D97" s="115" t="s">
        <v>257</v>
      </c>
      <c r="E97" s="116" t="s">
        <v>259</v>
      </c>
      <c r="F97" s="132" t="s">
        <v>80</v>
      </c>
    </row>
    <row r="98" spans="1:6" ht="25.5" x14ac:dyDescent="0.25">
      <c r="A98" s="117" t="s">
        <v>262</v>
      </c>
      <c r="B98" s="126" t="s">
        <v>492</v>
      </c>
      <c r="C98" s="115" t="s">
        <v>91</v>
      </c>
      <c r="D98" s="115" t="s">
        <v>260</v>
      </c>
      <c r="E98" s="116" t="s">
        <v>261</v>
      </c>
      <c r="F98" s="132" t="s">
        <v>80</v>
      </c>
    </row>
    <row r="99" spans="1:6" ht="25.5" x14ac:dyDescent="0.25">
      <c r="A99" s="117" t="s">
        <v>264</v>
      </c>
      <c r="B99" s="126" t="s">
        <v>492</v>
      </c>
      <c r="C99" s="115" t="s">
        <v>95</v>
      </c>
      <c r="D99" s="115" t="s">
        <v>255</v>
      </c>
      <c r="E99" s="116" t="s">
        <v>263</v>
      </c>
      <c r="F99" s="132" t="s">
        <v>80</v>
      </c>
    </row>
    <row r="100" spans="1:6" ht="25.5" x14ac:dyDescent="0.25">
      <c r="A100" s="117" t="s">
        <v>267</v>
      </c>
      <c r="B100" s="126" t="s">
        <v>492</v>
      </c>
      <c r="C100" s="115" t="s">
        <v>107</v>
      </c>
      <c r="D100" s="115" t="s">
        <v>265</v>
      </c>
      <c r="E100" s="116" t="s">
        <v>266</v>
      </c>
      <c r="F100" s="132" t="s">
        <v>80</v>
      </c>
    </row>
    <row r="101" spans="1:6" ht="25.5" x14ac:dyDescent="0.25">
      <c r="A101" s="117" t="s">
        <v>269</v>
      </c>
      <c r="B101" s="126" t="s">
        <v>492</v>
      </c>
      <c r="C101" s="115" t="s">
        <v>107</v>
      </c>
      <c r="D101" s="115" t="s">
        <v>265</v>
      </c>
      <c r="E101" s="116" t="s">
        <v>268</v>
      </c>
      <c r="F101" s="132" t="s">
        <v>80</v>
      </c>
    </row>
    <row r="102" spans="1:6" ht="25.5" x14ac:dyDescent="0.25">
      <c r="A102" s="117" t="s">
        <v>271</v>
      </c>
      <c r="B102" s="126" t="s">
        <v>492</v>
      </c>
      <c r="C102" s="115" t="s">
        <v>107</v>
      </c>
      <c r="D102" s="115" t="s">
        <v>257</v>
      </c>
      <c r="E102" s="116" t="s">
        <v>270</v>
      </c>
      <c r="F102" s="132" t="s">
        <v>80</v>
      </c>
    </row>
    <row r="103" spans="1:6" ht="25.5" x14ac:dyDescent="0.25">
      <c r="A103" s="117">
        <v>544962</v>
      </c>
      <c r="B103" s="125" t="s">
        <v>492</v>
      </c>
      <c r="C103" s="115" t="s">
        <v>69</v>
      </c>
      <c r="D103" s="115" t="s">
        <v>272</v>
      </c>
      <c r="E103" s="116">
        <v>6004249067</v>
      </c>
      <c r="F103" s="132" t="s">
        <v>80</v>
      </c>
    </row>
    <row r="104" spans="1:6" ht="25.5" x14ac:dyDescent="0.25">
      <c r="A104" s="117">
        <v>544963</v>
      </c>
      <c r="B104" s="126" t="s">
        <v>492</v>
      </c>
      <c r="C104" s="115" t="s">
        <v>69</v>
      </c>
      <c r="D104" s="115" t="s">
        <v>272</v>
      </c>
      <c r="E104" s="116">
        <v>6004250876</v>
      </c>
      <c r="F104" s="132" t="s">
        <v>80</v>
      </c>
    </row>
    <row r="105" spans="1:6" ht="25.5" x14ac:dyDescent="0.25">
      <c r="A105" s="117" t="s">
        <v>274</v>
      </c>
      <c r="B105" s="126" t="s">
        <v>492</v>
      </c>
      <c r="C105" s="115" t="s">
        <v>95</v>
      </c>
      <c r="D105" s="115" t="s">
        <v>255</v>
      </c>
      <c r="E105" s="116" t="s">
        <v>273</v>
      </c>
      <c r="F105" s="132" t="s">
        <v>80</v>
      </c>
    </row>
    <row r="106" spans="1:6" ht="25.5" x14ac:dyDescent="0.25">
      <c r="A106" s="117" t="s">
        <v>276</v>
      </c>
      <c r="B106" s="126" t="s">
        <v>492</v>
      </c>
      <c r="C106" s="115" t="s">
        <v>69</v>
      </c>
      <c r="D106" s="115" t="s">
        <v>275</v>
      </c>
      <c r="E106" s="116">
        <v>6007259968</v>
      </c>
      <c r="F106" s="132" t="s">
        <v>80</v>
      </c>
    </row>
    <row r="107" spans="1:6" ht="25.5" x14ac:dyDescent="0.25">
      <c r="A107" s="117" t="s">
        <v>278</v>
      </c>
      <c r="B107" s="126" t="s">
        <v>492</v>
      </c>
      <c r="C107" s="115" t="s">
        <v>69</v>
      </c>
      <c r="D107" s="115" t="s">
        <v>277</v>
      </c>
      <c r="E107" s="116">
        <v>6007274176</v>
      </c>
      <c r="F107" s="132" t="s">
        <v>80</v>
      </c>
    </row>
    <row r="108" spans="1:6" ht="25.5" x14ac:dyDescent="0.25">
      <c r="A108" s="117" t="s">
        <v>281</v>
      </c>
      <c r="B108" s="126" t="s">
        <v>492</v>
      </c>
      <c r="C108" s="115" t="s">
        <v>126</v>
      </c>
      <c r="D108" s="115" t="s">
        <v>279</v>
      </c>
      <c r="E108" s="116" t="s">
        <v>280</v>
      </c>
      <c r="F108" s="132" t="s">
        <v>80</v>
      </c>
    </row>
    <row r="109" spans="1:6" ht="25.5" x14ac:dyDescent="0.25">
      <c r="A109" s="117" t="s">
        <v>283</v>
      </c>
      <c r="B109" s="125" t="s">
        <v>492</v>
      </c>
      <c r="C109" s="115" t="s">
        <v>126</v>
      </c>
      <c r="D109" s="115" t="s">
        <v>279</v>
      </c>
      <c r="E109" s="116" t="s">
        <v>282</v>
      </c>
      <c r="F109" s="132" t="s">
        <v>80</v>
      </c>
    </row>
    <row r="110" spans="1:6" ht="25.5" x14ac:dyDescent="0.25">
      <c r="A110" s="117" t="s">
        <v>285</v>
      </c>
      <c r="B110" s="125" t="s">
        <v>492</v>
      </c>
      <c r="C110" s="115" t="s">
        <v>126</v>
      </c>
      <c r="D110" s="115" t="s">
        <v>279</v>
      </c>
      <c r="E110" s="116" t="s">
        <v>284</v>
      </c>
      <c r="F110" s="132" t="s">
        <v>80</v>
      </c>
    </row>
    <row r="111" spans="1:6" ht="25.5" x14ac:dyDescent="0.25">
      <c r="A111" s="117" t="s">
        <v>287</v>
      </c>
      <c r="B111" s="126" t="s">
        <v>492</v>
      </c>
      <c r="C111" s="115" t="s">
        <v>107</v>
      </c>
      <c r="D111" s="115" t="s">
        <v>265</v>
      </c>
      <c r="E111" s="116" t="s">
        <v>286</v>
      </c>
      <c r="F111" s="132" t="s">
        <v>80</v>
      </c>
    </row>
    <row r="112" spans="1:6" ht="25.5" x14ac:dyDescent="0.25">
      <c r="A112" s="117">
        <v>549370</v>
      </c>
      <c r="B112" s="126" t="s">
        <v>492</v>
      </c>
      <c r="C112" s="115" t="s">
        <v>95</v>
      </c>
      <c r="D112" s="115" t="s">
        <v>255</v>
      </c>
      <c r="E112" s="116" t="s">
        <v>288</v>
      </c>
      <c r="F112" s="132" t="s">
        <v>475</v>
      </c>
    </row>
    <row r="113" spans="1:6" ht="25.5" x14ac:dyDescent="0.25">
      <c r="A113" s="117">
        <v>515056</v>
      </c>
      <c r="B113" s="126" t="s">
        <v>492</v>
      </c>
      <c r="C113" s="115" t="s">
        <v>91</v>
      </c>
      <c r="D113" s="115" t="s">
        <v>289</v>
      </c>
      <c r="E113" s="116" t="s">
        <v>290</v>
      </c>
      <c r="F113" s="132" t="s">
        <v>475</v>
      </c>
    </row>
    <row r="114" spans="1:6" ht="25.5" x14ac:dyDescent="0.25">
      <c r="A114" s="117">
        <v>550041</v>
      </c>
      <c r="B114" s="126" t="s">
        <v>492</v>
      </c>
      <c r="C114" s="115" t="s">
        <v>107</v>
      </c>
      <c r="D114" s="115" t="s">
        <v>265</v>
      </c>
      <c r="E114" s="116" t="s">
        <v>291</v>
      </c>
      <c r="F114" s="132" t="s">
        <v>475</v>
      </c>
    </row>
    <row r="115" spans="1:6" ht="25.5" x14ac:dyDescent="0.25">
      <c r="A115" s="117">
        <v>550042</v>
      </c>
      <c r="B115" s="126" t="s">
        <v>492</v>
      </c>
      <c r="C115" s="115" t="s">
        <v>107</v>
      </c>
      <c r="D115" s="115" t="s">
        <v>265</v>
      </c>
      <c r="E115" s="116" t="s">
        <v>292</v>
      </c>
      <c r="F115" s="132" t="s">
        <v>475</v>
      </c>
    </row>
    <row r="116" spans="1:6" ht="25.5" x14ac:dyDescent="0.25">
      <c r="A116" s="117">
        <v>550043</v>
      </c>
      <c r="B116" s="126" t="s">
        <v>492</v>
      </c>
      <c r="C116" s="115" t="s">
        <v>107</v>
      </c>
      <c r="D116" s="115" t="s">
        <v>265</v>
      </c>
      <c r="E116" s="116" t="s">
        <v>293</v>
      </c>
      <c r="F116" s="132" t="s">
        <v>475</v>
      </c>
    </row>
    <row r="117" spans="1:6" ht="25.5" x14ac:dyDescent="0.25">
      <c r="A117" s="117">
        <v>572678</v>
      </c>
      <c r="B117" s="126" t="s">
        <v>492</v>
      </c>
      <c r="C117" s="115" t="s">
        <v>107</v>
      </c>
      <c r="D117" s="115" t="s">
        <v>265</v>
      </c>
      <c r="E117" s="116" t="s">
        <v>294</v>
      </c>
      <c r="F117" s="132" t="s">
        <v>489</v>
      </c>
    </row>
    <row r="118" spans="1:6" ht="25.5" x14ac:dyDescent="0.25">
      <c r="A118" s="117">
        <v>573322</v>
      </c>
      <c r="B118" s="125" t="s">
        <v>492</v>
      </c>
      <c r="C118" s="115" t="s">
        <v>107</v>
      </c>
      <c r="D118" s="115" t="s">
        <v>257</v>
      </c>
      <c r="E118" s="116" t="s">
        <v>295</v>
      </c>
      <c r="F118" s="132" t="s">
        <v>477</v>
      </c>
    </row>
    <row r="119" spans="1:6" ht="25.5" x14ac:dyDescent="0.25">
      <c r="A119" s="117" t="s">
        <v>297</v>
      </c>
      <c r="B119" s="125" t="s">
        <v>492</v>
      </c>
      <c r="C119" s="115" t="s">
        <v>91</v>
      </c>
      <c r="D119" s="115" t="s">
        <v>289</v>
      </c>
      <c r="E119" s="116" t="s">
        <v>296</v>
      </c>
      <c r="F119" s="132" t="s">
        <v>477</v>
      </c>
    </row>
    <row r="120" spans="1:6" ht="25.5" x14ac:dyDescent="0.25">
      <c r="A120" s="117" t="s">
        <v>299</v>
      </c>
      <c r="B120" s="125" t="s">
        <v>492</v>
      </c>
      <c r="C120" s="115" t="s">
        <v>107</v>
      </c>
      <c r="D120" s="115" t="s">
        <v>265</v>
      </c>
      <c r="E120" s="116" t="s">
        <v>298</v>
      </c>
      <c r="F120" s="132" t="s">
        <v>477</v>
      </c>
    </row>
    <row r="121" spans="1:6" ht="25.5" x14ac:dyDescent="0.25">
      <c r="A121" s="117" t="s">
        <v>301</v>
      </c>
      <c r="B121" s="125" t="s">
        <v>492</v>
      </c>
      <c r="C121" s="115" t="s">
        <v>107</v>
      </c>
      <c r="D121" s="115" t="s">
        <v>265</v>
      </c>
      <c r="E121" s="116" t="s">
        <v>300</v>
      </c>
      <c r="F121" s="132" t="s">
        <v>477</v>
      </c>
    </row>
    <row r="122" spans="1:6" ht="25.5" x14ac:dyDescent="0.25">
      <c r="A122" s="120">
        <v>540364</v>
      </c>
      <c r="B122" s="127" t="s">
        <v>492</v>
      </c>
      <c r="C122" s="118" t="s">
        <v>91</v>
      </c>
      <c r="D122" s="118" t="s">
        <v>302</v>
      </c>
      <c r="E122" s="119" t="s">
        <v>303</v>
      </c>
      <c r="F122" s="133" t="s">
        <v>478</v>
      </c>
    </row>
    <row r="123" spans="1:6" ht="25.5" x14ac:dyDescent="0.25">
      <c r="A123" s="117">
        <v>518909</v>
      </c>
      <c r="B123" s="126" t="s">
        <v>492</v>
      </c>
      <c r="C123" s="115" t="s">
        <v>91</v>
      </c>
      <c r="D123" s="115" t="s">
        <v>289</v>
      </c>
      <c r="E123" s="116" t="s">
        <v>304</v>
      </c>
      <c r="F123" s="132" t="s">
        <v>478</v>
      </c>
    </row>
    <row r="124" spans="1:6" ht="25.5" x14ac:dyDescent="0.25">
      <c r="A124" s="120">
        <v>573324</v>
      </c>
      <c r="B124" s="127" t="s">
        <v>492</v>
      </c>
      <c r="C124" s="118" t="s">
        <v>107</v>
      </c>
      <c r="D124" s="118" t="s">
        <v>257</v>
      </c>
      <c r="E124" s="119" t="s">
        <v>305</v>
      </c>
      <c r="F124" s="132" t="s">
        <v>479</v>
      </c>
    </row>
    <row r="125" spans="1:6" ht="25.5" x14ac:dyDescent="0.25">
      <c r="A125" s="120">
        <v>573332</v>
      </c>
      <c r="B125" s="127" t="s">
        <v>492</v>
      </c>
      <c r="C125" s="118" t="s">
        <v>107</v>
      </c>
      <c r="D125" s="118" t="s">
        <v>257</v>
      </c>
      <c r="E125" s="119" t="s">
        <v>306</v>
      </c>
      <c r="F125" s="132" t="s">
        <v>479</v>
      </c>
    </row>
    <row r="126" spans="1:6" ht="25.5" x14ac:dyDescent="0.25">
      <c r="A126" s="117">
        <v>516240</v>
      </c>
      <c r="B126" s="126" t="s">
        <v>492</v>
      </c>
      <c r="C126" s="115" t="s">
        <v>91</v>
      </c>
      <c r="D126" s="115" t="s">
        <v>302</v>
      </c>
      <c r="E126" s="116" t="s">
        <v>307</v>
      </c>
      <c r="F126" s="132" t="s">
        <v>479</v>
      </c>
    </row>
    <row r="127" spans="1:6" ht="25.5" x14ac:dyDescent="0.25">
      <c r="A127" s="117">
        <v>573323</v>
      </c>
      <c r="B127" s="126" t="s">
        <v>492</v>
      </c>
      <c r="C127" s="115" t="s">
        <v>107</v>
      </c>
      <c r="D127" s="115" t="s">
        <v>257</v>
      </c>
      <c r="E127" s="116" t="s">
        <v>308</v>
      </c>
      <c r="F127" s="132" t="s">
        <v>479</v>
      </c>
    </row>
    <row r="128" spans="1:6" ht="25.5" x14ac:dyDescent="0.25">
      <c r="A128" s="117">
        <v>573330</v>
      </c>
      <c r="B128" s="126" t="s">
        <v>492</v>
      </c>
      <c r="C128" s="115" t="s">
        <v>107</v>
      </c>
      <c r="D128" s="115" t="s">
        <v>257</v>
      </c>
      <c r="E128" s="116" t="s">
        <v>309</v>
      </c>
      <c r="F128" s="132" t="s">
        <v>479</v>
      </c>
    </row>
    <row r="129" spans="1:6" ht="25.5" x14ac:dyDescent="0.25">
      <c r="A129" s="117">
        <v>573306</v>
      </c>
      <c r="B129" s="126" t="s">
        <v>492</v>
      </c>
      <c r="C129" s="115" t="s">
        <v>69</v>
      </c>
      <c r="D129" s="115" t="s">
        <v>310</v>
      </c>
      <c r="E129" s="116" t="s">
        <v>311</v>
      </c>
      <c r="F129" s="132" t="s">
        <v>104</v>
      </c>
    </row>
    <row r="130" spans="1:6" ht="25.5" x14ac:dyDescent="0.25">
      <c r="A130" s="117">
        <v>573307</v>
      </c>
      <c r="B130" s="126" t="s">
        <v>492</v>
      </c>
      <c r="C130" s="115" t="s">
        <v>69</v>
      </c>
      <c r="D130" s="115" t="s">
        <v>310</v>
      </c>
      <c r="E130" s="116" t="s">
        <v>312</v>
      </c>
      <c r="F130" s="132" t="s">
        <v>104</v>
      </c>
    </row>
    <row r="131" spans="1:6" ht="25.5" x14ac:dyDescent="0.25">
      <c r="A131" s="117">
        <v>573308</v>
      </c>
      <c r="B131" s="126" t="s">
        <v>492</v>
      </c>
      <c r="C131" s="115" t="s">
        <v>69</v>
      </c>
      <c r="D131" s="115" t="s">
        <v>310</v>
      </c>
      <c r="E131" s="116" t="s">
        <v>313</v>
      </c>
      <c r="F131" s="132" t="s">
        <v>104</v>
      </c>
    </row>
    <row r="132" spans="1:6" ht="25.5" x14ac:dyDescent="0.25">
      <c r="A132" s="117">
        <v>573309</v>
      </c>
      <c r="B132" s="126" t="s">
        <v>492</v>
      </c>
      <c r="C132" s="115" t="s">
        <v>69</v>
      </c>
      <c r="D132" s="115" t="s">
        <v>310</v>
      </c>
      <c r="E132" s="116" t="s">
        <v>314</v>
      </c>
      <c r="F132" s="132" t="s">
        <v>104</v>
      </c>
    </row>
    <row r="133" spans="1:6" ht="25.5" x14ac:dyDescent="0.25">
      <c r="A133" s="117">
        <v>573310</v>
      </c>
      <c r="B133" s="126" t="s">
        <v>492</v>
      </c>
      <c r="C133" s="115" t="s">
        <v>69</v>
      </c>
      <c r="D133" s="115" t="s">
        <v>310</v>
      </c>
      <c r="E133" s="116" t="s">
        <v>315</v>
      </c>
      <c r="F133" s="132" t="s">
        <v>104</v>
      </c>
    </row>
    <row r="134" spans="1:6" ht="25.5" x14ac:dyDescent="0.25">
      <c r="A134" s="117">
        <v>573311</v>
      </c>
      <c r="B134" s="126" t="s">
        <v>492</v>
      </c>
      <c r="C134" s="115" t="s">
        <v>69</v>
      </c>
      <c r="D134" s="115" t="s">
        <v>310</v>
      </c>
      <c r="E134" s="116" t="s">
        <v>316</v>
      </c>
      <c r="F134" s="132" t="s">
        <v>104</v>
      </c>
    </row>
    <row r="135" spans="1:6" ht="25.5" x14ac:dyDescent="0.25">
      <c r="A135" s="117">
        <v>573313</v>
      </c>
      <c r="B135" s="126" t="s">
        <v>492</v>
      </c>
      <c r="C135" s="115" t="s">
        <v>69</v>
      </c>
      <c r="D135" s="115" t="s">
        <v>310</v>
      </c>
      <c r="E135" s="116" t="s">
        <v>317</v>
      </c>
      <c r="F135" s="132" t="s">
        <v>104</v>
      </c>
    </row>
    <row r="136" spans="1:6" ht="25.5" x14ac:dyDescent="0.25">
      <c r="A136" s="117">
        <v>573314</v>
      </c>
      <c r="B136" s="126" t="s">
        <v>492</v>
      </c>
      <c r="C136" s="115" t="s">
        <v>69</v>
      </c>
      <c r="D136" s="115" t="s">
        <v>310</v>
      </c>
      <c r="E136" s="116" t="s">
        <v>318</v>
      </c>
      <c r="F136" s="132" t="s">
        <v>104</v>
      </c>
    </row>
    <row r="137" spans="1:6" ht="25.5" x14ac:dyDescent="0.25">
      <c r="A137" s="117">
        <v>573315</v>
      </c>
      <c r="B137" s="126" t="s">
        <v>492</v>
      </c>
      <c r="C137" s="115" t="s">
        <v>69</v>
      </c>
      <c r="D137" s="115" t="s">
        <v>310</v>
      </c>
      <c r="E137" s="116" t="s">
        <v>319</v>
      </c>
      <c r="F137" s="132" t="s">
        <v>104</v>
      </c>
    </row>
    <row r="138" spans="1:6" ht="25.5" x14ac:dyDescent="0.25">
      <c r="A138" s="117">
        <v>573316</v>
      </c>
      <c r="B138" s="126" t="s">
        <v>492</v>
      </c>
      <c r="C138" s="115" t="s">
        <v>69</v>
      </c>
      <c r="D138" s="115" t="s">
        <v>310</v>
      </c>
      <c r="E138" s="116" t="s">
        <v>320</v>
      </c>
      <c r="F138" s="132" t="s">
        <v>104</v>
      </c>
    </row>
    <row r="139" spans="1:6" ht="25.5" x14ac:dyDescent="0.25">
      <c r="A139" s="117">
        <v>573318</v>
      </c>
      <c r="B139" s="126" t="s">
        <v>492</v>
      </c>
      <c r="C139" s="115" t="s">
        <v>69</v>
      </c>
      <c r="D139" s="115" t="s">
        <v>310</v>
      </c>
      <c r="E139" s="116" t="s">
        <v>321</v>
      </c>
      <c r="F139" s="132" t="s">
        <v>104</v>
      </c>
    </row>
    <row r="140" spans="1:6" ht="25.5" x14ac:dyDescent="0.25">
      <c r="A140" s="117">
        <v>573319</v>
      </c>
      <c r="B140" s="126" t="s">
        <v>492</v>
      </c>
      <c r="C140" s="115" t="s">
        <v>69</v>
      </c>
      <c r="D140" s="115" t="s">
        <v>310</v>
      </c>
      <c r="E140" s="116" t="s">
        <v>322</v>
      </c>
      <c r="F140" s="132" t="s">
        <v>104</v>
      </c>
    </row>
    <row r="141" spans="1:6" ht="25.5" x14ac:dyDescent="0.25">
      <c r="A141" s="117" t="s">
        <v>324</v>
      </c>
      <c r="B141" s="126" t="s">
        <v>492</v>
      </c>
      <c r="C141" s="115" t="s">
        <v>107</v>
      </c>
      <c r="D141" s="115" t="s">
        <v>265</v>
      </c>
      <c r="E141" s="116" t="s">
        <v>323</v>
      </c>
      <c r="F141" s="132" t="s">
        <v>104</v>
      </c>
    </row>
    <row r="142" spans="1:6" ht="25.5" x14ac:dyDescent="0.25">
      <c r="A142" s="117" t="s">
        <v>326</v>
      </c>
      <c r="B142" s="126" t="s">
        <v>492</v>
      </c>
      <c r="C142" s="115" t="s">
        <v>107</v>
      </c>
      <c r="D142" s="115" t="s">
        <v>265</v>
      </c>
      <c r="E142" s="116" t="s">
        <v>325</v>
      </c>
      <c r="F142" s="132" t="s">
        <v>104</v>
      </c>
    </row>
    <row r="143" spans="1:6" ht="25.5" x14ac:dyDescent="0.25">
      <c r="A143" s="117" t="s">
        <v>328</v>
      </c>
      <c r="B143" s="126" t="s">
        <v>492</v>
      </c>
      <c r="C143" s="115" t="s">
        <v>107</v>
      </c>
      <c r="D143" s="115" t="s">
        <v>265</v>
      </c>
      <c r="E143" s="116" t="s">
        <v>327</v>
      </c>
      <c r="F143" s="132" t="s">
        <v>104</v>
      </c>
    </row>
    <row r="144" spans="1:6" ht="25.5" x14ac:dyDescent="0.25">
      <c r="A144" s="117">
        <v>573312</v>
      </c>
      <c r="B144" s="125" t="s">
        <v>492</v>
      </c>
      <c r="C144" s="115" t="s">
        <v>69</v>
      </c>
      <c r="D144" s="115" t="s">
        <v>310</v>
      </c>
      <c r="E144" s="116" t="s">
        <v>329</v>
      </c>
      <c r="F144" s="132" t="s">
        <v>104</v>
      </c>
    </row>
    <row r="145" spans="1:6" ht="25.5" x14ac:dyDescent="0.25">
      <c r="A145" s="117">
        <v>573317</v>
      </c>
      <c r="B145" s="125" t="s">
        <v>492</v>
      </c>
      <c r="C145" s="115" t="s">
        <v>69</v>
      </c>
      <c r="D145" s="115" t="s">
        <v>310</v>
      </c>
      <c r="E145" s="116" t="s">
        <v>330</v>
      </c>
      <c r="F145" s="132" t="s">
        <v>104</v>
      </c>
    </row>
    <row r="146" spans="1:6" ht="25.5" x14ac:dyDescent="0.25">
      <c r="A146" s="117">
        <v>545618</v>
      </c>
      <c r="B146" s="125" t="s">
        <v>492</v>
      </c>
      <c r="C146" s="115" t="s">
        <v>95</v>
      </c>
      <c r="D146" s="115" t="s">
        <v>331</v>
      </c>
      <c r="E146" s="116" t="s">
        <v>332</v>
      </c>
      <c r="F146" s="132" t="s">
        <v>480</v>
      </c>
    </row>
    <row r="147" spans="1:6" ht="25.5" x14ac:dyDescent="0.25">
      <c r="A147" s="117">
        <v>545619</v>
      </c>
      <c r="B147" s="125" t="s">
        <v>492</v>
      </c>
      <c r="C147" s="115" t="s">
        <v>95</v>
      </c>
      <c r="D147" s="115" t="s">
        <v>333</v>
      </c>
      <c r="E147" s="116" t="s">
        <v>334</v>
      </c>
      <c r="F147" s="132" t="s">
        <v>480</v>
      </c>
    </row>
    <row r="148" spans="1:6" ht="25.5" x14ac:dyDescent="0.25">
      <c r="A148" s="117">
        <v>545620</v>
      </c>
      <c r="B148" s="125" t="s">
        <v>492</v>
      </c>
      <c r="C148" s="115" t="s">
        <v>95</v>
      </c>
      <c r="D148" s="115" t="s">
        <v>333</v>
      </c>
      <c r="E148" s="116" t="s">
        <v>335</v>
      </c>
      <c r="F148" s="132" t="s">
        <v>480</v>
      </c>
    </row>
    <row r="149" spans="1:6" ht="25.5" x14ac:dyDescent="0.25">
      <c r="A149" s="117">
        <v>545621</v>
      </c>
      <c r="B149" s="125" t="s">
        <v>492</v>
      </c>
      <c r="C149" s="115" t="s">
        <v>95</v>
      </c>
      <c r="D149" s="115" t="s">
        <v>333</v>
      </c>
      <c r="E149" s="116" t="s">
        <v>336</v>
      </c>
      <c r="F149" s="132" t="s">
        <v>480</v>
      </c>
    </row>
    <row r="150" spans="1:6" ht="25.5" x14ac:dyDescent="0.25">
      <c r="A150" s="120" t="s">
        <v>338</v>
      </c>
      <c r="B150" s="127" t="s">
        <v>492</v>
      </c>
      <c r="C150" s="118" t="s">
        <v>91</v>
      </c>
      <c r="D150" s="118" t="s">
        <v>289</v>
      </c>
      <c r="E150" s="119" t="s">
        <v>337</v>
      </c>
      <c r="F150" s="133" t="s">
        <v>103</v>
      </c>
    </row>
    <row r="151" spans="1:6" ht="25.5" x14ac:dyDescent="0.25">
      <c r="A151" s="120" t="s">
        <v>340</v>
      </c>
      <c r="B151" s="127" t="s">
        <v>492</v>
      </c>
      <c r="C151" s="118" t="s">
        <v>91</v>
      </c>
      <c r="D151" s="118" t="s">
        <v>289</v>
      </c>
      <c r="E151" s="119" t="s">
        <v>339</v>
      </c>
      <c r="F151" s="133" t="s">
        <v>481</v>
      </c>
    </row>
    <row r="152" spans="1:6" ht="25.5" x14ac:dyDescent="0.25">
      <c r="A152" s="120" t="s">
        <v>343</v>
      </c>
      <c r="B152" s="127" t="s">
        <v>492</v>
      </c>
      <c r="C152" s="118" t="s">
        <v>91</v>
      </c>
      <c r="D152" s="118" t="s">
        <v>341</v>
      </c>
      <c r="E152" s="119" t="s">
        <v>342</v>
      </c>
      <c r="F152" s="133" t="s">
        <v>481</v>
      </c>
    </row>
    <row r="153" spans="1:6" ht="25.5" x14ac:dyDescent="0.25">
      <c r="A153" s="120" t="s">
        <v>345</v>
      </c>
      <c r="B153" s="127" t="s">
        <v>492</v>
      </c>
      <c r="C153" s="118" t="s">
        <v>91</v>
      </c>
      <c r="D153" s="118" t="s">
        <v>302</v>
      </c>
      <c r="E153" s="119" t="s">
        <v>344</v>
      </c>
      <c r="F153" s="133" t="s">
        <v>481</v>
      </c>
    </row>
    <row r="154" spans="1:6" ht="25.5" x14ac:dyDescent="0.25">
      <c r="A154" s="120" t="s">
        <v>347</v>
      </c>
      <c r="B154" s="127" t="s">
        <v>492</v>
      </c>
      <c r="C154" s="118" t="s">
        <v>91</v>
      </c>
      <c r="D154" s="118" t="s">
        <v>260</v>
      </c>
      <c r="E154" s="119" t="s">
        <v>346</v>
      </c>
      <c r="F154" s="133" t="s">
        <v>481</v>
      </c>
    </row>
    <row r="155" spans="1:6" ht="25.5" x14ac:dyDescent="0.25">
      <c r="A155" s="117" t="s">
        <v>349</v>
      </c>
      <c r="B155" s="126" t="s">
        <v>492</v>
      </c>
      <c r="C155" s="115" t="s">
        <v>91</v>
      </c>
      <c r="D155" s="115" t="s">
        <v>289</v>
      </c>
      <c r="E155" s="116" t="s">
        <v>348</v>
      </c>
      <c r="F155" s="132" t="s">
        <v>483</v>
      </c>
    </row>
    <row r="156" spans="1:6" ht="25.5" x14ac:dyDescent="0.25">
      <c r="A156" s="117" t="s">
        <v>351</v>
      </c>
      <c r="B156" s="126" t="s">
        <v>492</v>
      </c>
      <c r="C156" s="115" t="s">
        <v>107</v>
      </c>
      <c r="D156" s="115" t="s">
        <v>265</v>
      </c>
      <c r="E156" s="116" t="s">
        <v>350</v>
      </c>
      <c r="F156" s="132" t="s">
        <v>104</v>
      </c>
    </row>
    <row r="157" spans="1:6" ht="25.5" x14ac:dyDescent="0.25">
      <c r="A157" s="117">
        <v>516835</v>
      </c>
      <c r="B157" s="125" t="s">
        <v>492</v>
      </c>
      <c r="C157" s="115" t="s">
        <v>91</v>
      </c>
      <c r="D157" s="115" t="s">
        <v>302</v>
      </c>
      <c r="E157" s="116" t="s">
        <v>352</v>
      </c>
      <c r="F157" s="132" t="s">
        <v>104</v>
      </c>
    </row>
    <row r="158" spans="1:6" ht="25.5" x14ac:dyDescent="0.25">
      <c r="A158" s="117">
        <v>518604</v>
      </c>
      <c r="B158" s="125" t="s">
        <v>492</v>
      </c>
      <c r="C158" s="115" t="s">
        <v>91</v>
      </c>
      <c r="D158" s="115" t="s">
        <v>302</v>
      </c>
      <c r="E158" s="116" t="s">
        <v>353</v>
      </c>
      <c r="F158" s="132" t="s">
        <v>104</v>
      </c>
    </row>
    <row r="159" spans="1:6" ht="25.5" x14ac:dyDescent="0.25">
      <c r="A159" s="117" t="s">
        <v>355</v>
      </c>
      <c r="B159" s="125" t="s">
        <v>492</v>
      </c>
      <c r="C159" s="115" t="s">
        <v>91</v>
      </c>
      <c r="D159" s="115" t="s">
        <v>341</v>
      </c>
      <c r="E159" s="116" t="s">
        <v>354</v>
      </c>
      <c r="F159" s="132" t="s">
        <v>104</v>
      </c>
    </row>
    <row r="160" spans="1:6" ht="25.5" x14ac:dyDescent="0.25">
      <c r="A160" s="117" t="s">
        <v>357</v>
      </c>
      <c r="B160" s="125" t="s">
        <v>492</v>
      </c>
      <c r="C160" s="115" t="s">
        <v>107</v>
      </c>
      <c r="D160" s="115" t="s">
        <v>265</v>
      </c>
      <c r="E160" s="116" t="s">
        <v>356</v>
      </c>
      <c r="F160" s="132" t="s">
        <v>104</v>
      </c>
    </row>
    <row r="161" spans="1:6" ht="25.5" x14ac:dyDescent="0.25">
      <c r="A161" s="117" t="s">
        <v>359</v>
      </c>
      <c r="B161" s="125" t="s">
        <v>492</v>
      </c>
      <c r="C161" s="115" t="s">
        <v>107</v>
      </c>
      <c r="D161" s="115" t="s">
        <v>265</v>
      </c>
      <c r="E161" s="116" t="s">
        <v>358</v>
      </c>
      <c r="F161" s="132" t="s">
        <v>104</v>
      </c>
    </row>
    <row r="162" spans="1:6" ht="25.5" x14ac:dyDescent="0.25">
      <c r="A162" s="117" t="s">
        <v>361</v>
      </c>
      <c r="B162" s="126" t="s">
        <v>492</v>
      </c>
      <c r="C162" s="115" t="s">
        <v>91</v>
      </c>
      <c r="D162" s="115" t="s">
        <v>302</v>
      </c>
      <c r="E162" s="116" t="s">
        <v>360</v>
      </c>
      <c r="F162" s="132" t="s">
        <v>481</v>
      </c>
    </row>
    <row r="163" spans="1:6" ht="25.5" x14ac:dyDescent="0.25">
      <c r="A163" s="117" t="s">
        <v>362</v>
      </c>
      <c r="B163" s="126" t="s">
        <v>492</v>
      </c>
      <c r="C163" s="115" t="s">
        <v>91</v>
      </c>
      <c r="D163" s="115" t="s">
        <v>289</v>
      </c>
      <c r="E163" s="116">
        <v>1202</v>
      </c>
      <c r="F163" s="132" t="s">
        <v>105</v>
      </c>
    </row>
    <row r="164" spans="1:6" ht="25.5" x14ac:dyDescent="0.25">
      <c r="A164" s="117">
        <v>545468</v>
      </c>
      <c r="B164" s="126" t="s">
        <v>492</v>
      </c>
      <c r="C164" s="115" t="s">
        <v>95</v>
      </c>
      <c r="D164" s="115" t="s">
        <v>255</v>
      </c>
      <c r="E164" s="116" t="s">
        <v>363</v>
      </c>
      <c r="F164" s="132" t="s">
        <v>105</v>
      </c>
    </row>
    <row r="165" spans="1:6" ht="25.5" x14ac:dyDescent="0.25">
      <c r="A165" s="124">
        <v>516234</v>
      </c>
      <c r="B165" s="128" t="s">
        <v>492</v>
      </c>
      <c r="C165" s="121" t="s">
        <v>91</v>
      </c>
      <c r="D165" s="121" t="s">
        <v>302</v>
      </c>
      <c r="E165" s="122" t="s">
        <v>364</v>
      </c>
      <c r="F165" s="132" t="s">
        <v>105</v>
      </c>
    </row>
    <row r="166" spans="1:6" ht="25.5" x14ac:dyDescent="0.25">
      <c r="A166" s="117">
        <v>545462</v>
      </c>
      <c r="B166" s="125" t="s">
        <v>492</v>
      </c>
      <c r="C166" s="115" t="s">
        <v>95</v>
      </c>
      <c r="D166" s="115" t="s">
        <v>255</v>
      </c>
      <c r="E166" s="116" t="s">
        <v>365</v>
      </c>
      <c r="F166" s="132" t="s">
        <v>105</v>
      </c>
    </row>
    <row r="167" spans="1:6" ht="25.5" x14ac:dyDescent="0.25">
      <c r="A167" s="117">
        <v>545463</v>
      </c>
      <c r="B167" s="125" t="s">
        <v>492</v>
      </c>
      <c r="C167" s="115" t="s">
        <v>95</v>
      </c>
      <c r="D167" s="115" t="s">
        <v>255</v>
      </c>
      <c r="E167" s="116" t="s">
        <v>366</v>
      </c>
      <c r="F167" s="132" t="s">
        <v>105</v>
      </c>
    </row>
    <row r="168" spans="1:6" ht="25.5" x14ac:dyDescent="0.25">
      <c r="A168" s="117">
        <v>545464</v>
      </c>
      <c r="B168" s="125" t="s">
        <v>492</v>
      </c>
      <c r="C168" s="115" t="s">
        <v>95</v>
      </c>
      <c r="D168" s="115" t="s">
        <v>255</v>
      </c>
      <c r="E168" s="116" t="s">
        <v>367</v>
      </c>
      <c r="F168" s="132" t="s">
        <v>105</v>
      </c>
    </row>
    <row r="169" spans="1:6" ht="25.5" x14ac:dyDescent="0.25">
      <c r="A169" s="117">
        <v>545465</v>
      </c>
      <c r="B169" s="125" t="s">
        <v>492</v>
      </c>
      <c r="C169" s="115" t="s">
        <v>95</v>
      </c>
      <c r="D169" s="115" t="s">
        <v>255</v>
      </c>
      <c r="E169" s="116" t="s">
        <v>368</v>
      </c>
      <c r="F169" s="132" t="s">
        <v>105</v>
      </c>
    </row>
    <row r="170" spans="1:6" ht="25.5" x14ac:dyDescent="0.25">
      <c r="A170" s="117">
        <v>545466</v>
      </c>
      <c r="B170" s="125" t="s">
        <v>492</v>
      </c>
      <c r="C170" s="115" t="s">
        <v>95</v>
      </c>
      <c r="D170" s="115" t="s">
        <v>255</v>
      </c>
      <c r="E170" s="116" t="s">
        <v>369</v>
      </c>
      <c r="F170" s="132" t="s">
        <v>105</v>
      </c>
    </row>
    <row r="171" spans="1:6" ht="25.5" x14ac:dyDescent="0.25">
      <c r="A171" s="117">
        <v>545467</v>
      </c>
      <c r="B171" s="125" t="s">
        <v>492</v>
      </c>
      <c r="C171" s="115" t="s">
        <v>95</v>
      </c>
      <c r="D171" s="115" t="s">
        <v>255</v>
      </c>
      <c r="E171" s="116" t="s">
        <v>370</v>
      </c>
      <c r="F171" s="132" t="s">
        <v>105</v>
      </c>
    </row>
    <row r="172" spans="1:6" ht="25.5" x14ac:dyDescent="0.25">
      <c r="A172" s="117">
        <v>545469</v>
      </c>
      <c r="B172" s="125" t="s">
        <v>492</v>
      </c>
      <c r="C172" s="115" t="s">
        <v>95</v>
      </c>
      <c r="D172" s="115" t="s">
        <v>255</v>
      </c>
      <c r="E172" s="116" t="s">
        <v>371</v>
      </c>
      <c r="F172" s="132" t="s">
        <v>105</v>
      </c>
    </row>
    <row r="173" spans="1:6" ht="25.5" x14ac:dyDescent="0.25">
      <c r="A173" s="117">
        <v>545470</v>
      </c>
      <c r="B173" s="125" t="s">
        <v>492</v>
      </c>
      <c r="C173" s="115" t="s">
        <v>95</v>
      </c>
      <c r="D173" s="115" t="s">
        <v>255</v>
      </c>
      <c r="E173" s="116" t="s">
        <v>372</v>
      </c>
      <c r="F173" s="132" t="s">
        <v>105</v>
      </c>
    </row>
    <row r="174" spans="1:6" ht="25.5" x14ac:dyDescent="0.25">
      <c r="A174" s="117">
        <v>545471</v>
      </c>
      <c r="B174" s="125" t="s">
        <v>492</v>
      </c>
      <c r="C174" s="115" t="s">
        <v>95</v>
      </c>
      <c r="D174" s="115" t="s">
        <v>255</v>
      </c>
      <c r="E174" s="116" t="s">
        <v>373</v>
      </c>
      <c r="F174" s="132" t="s">
        <v>105</v>
      </c>
    </row>
    <row r="175" spans="1:6" ht="25.5" x14ac:dyDescent="0.25">
      <c r="A175" s="117">
        <v>545472</v>
      </c>
      <c r="B175" s="125" t="s">
        <v>492</v>
      </c>
      <c r="C175" s="115" t="s">
        <v>95</v>
      </c>
      <c r="D175" s="115" t="s">
        <v>255</v>
      </c>
      <c r="E175" s="116" t="s">
        <v>374</v>
      </c>
      <c r="F175" s="132" t="s">
        <v>105</v>
      </c>
    </row>
    <row r="176" spans="1:6" ht="25.5" x14ac:dyDescent="0.25">
      <c r="A176" s="117">
        <v>545473</v>
      </c>
      <c r="B176" s="125" t="s">
        <v>492</v>
      </c>
      <c r="C176" s="115" t="s">
        <v>95</v>
      </c>
      <c r="D176" s="115" t="s">
        <v>255</v>
      </c>
      <c r="E176" s="116" t="s">
        <v>375</v>
      </c>
      <c r="F176" s="132" t="s">
        <v>105</v>
      </c>
    </row>
    <row r="177" spans="1:6" ht="25.5" x14ac:dyDescent="0.25">
      <c r="A177" s="117">
        <v>545474</v>
      </c>
      <c r="B177" s="125" t="s">
        <v>492</v>
      </c>
      <c r="C177" s="115" t="s">
        <v>95</v>
      </c>
      <c r="D177" s="115" t="s">
        <v>255</v>
      </c>
      <c r="E177" s="116" t="s">
        <v>376</v>
      </c>
      <c r="F177" s="132" t="s">
        <v>105</v>
      </c>
    </row>
    <row r="178" spans="1:6" ht="25.5" x14ac:dyDescent="0.25">
      <c r="A178" s="117">
        <v>545475</v>
      </c>
      <c r="B178" s="125" t="s">
        <v>492</v>
      </c>
      <c r="C178" s="115" t="s">
        <v>95</v>
      </c>
      <c r="D178" s="115" t="s">
        <v>255</v>
      </c>
      <c r="E178" s="116" t="s">
        <v>377</v>
      </c>
      <c r="F178" s="132" t="s">
        <v>105</v>
      </c>
    </row>
    <row r="179" spans="1:6" ht="25.5" x14ac:dyDescent="0.25">
      <c r="A179" s="117">
        <v>545476</v>
      </c>
      <c r="B179" s="125" t="s">
        <v>492</v>
      </c>
      <c r="C179" s="115" t="s">
        <v>95</v>
      </c>
      <c r="D179" s="115" t="s">
        <v>255</v>
      </c>
      <c r="E179" s="116" t="s">
        <v>378</v>
      </c>
      <c r="F179" s="132" t="s">
        <v>105</v>
      </c>
    </row>
    <row r="180" spans="1:6" ht="25.5" x14ac:dyDescent="0.25">
      <c r="A180" s="117">
        <v>545478</v>
      </c>
      <c r="B180" s="125" t="s">
        <v>492</v>
      </c>
      <c r="C180" s="115" t="s">
        <v>95</v>
      </c>
      <c r="D180" s="115" t="s">
        <v>255</v>
      </c>
      <c r="E180" s="116" t="s">
        <v>379</v>
      </c>
      <c r="F180" s="132" t="s">
        <v>105</v>
      </c>
    </row>
    <row r="181" spans="1:6" ht="25.5" x14ac:dyDescent="0.25">
      <c r="A181" s="117">
        <v>545479</v>
      </c>
      <c r="B181" s="125" t="s">
        <v>492</v>
      </c>
      <c r="C181" s="115" t="s">
        <v>95</v>
      </c>
      <c r="D181" s="115" t="s">
        <v>255</v>
      </c>
      <c r="E181" s="116" t="s">
        <v>380</v>
      </c>
      <c r="F181" s="132" t="s">
        <v>105</v>
      </c>
    </row>
    <row r="182" spans="1:6" ht="25.5" x14ac:dyDescent="0.25">
      <c r="A182" s="117">
        <v>545480</v>
      </c>
      <c r="B182" s="125" t="s">
        <v>492</v>
      </c>
      <c r="C182" s="115" t="s">
        <v>95</v>
      </c>
      <c r="D182" s="115" t="s">
        <v>255</v>
      </c>
      <c r="E182" s="116" t="s">
        <v>381</v>
      </c>
      <c r="F182" s="132" t="s">
        <v>105</v>
      </c>
    </row>
    <row r="183" spans="1:6" ht="25.5" x14ac:dyDescent="0.25">
      <c r="A183" s="117">
        <v>545481</v>
      </c>
      <c r="B183" s="125" t="s">
        <v>492</v>
      </c>
      <c r="C183" s="115" t="s">
        <v>95</v>
      </c>
      <c r="D183" s="115" t="s">
        <v>255</v>
      </c>
      <c r="E183" s="116" t="s">
        <v>382</v>
      </c>
      <c r="F183" s="132" t="s">
        <v>105</v>
      </c>
    </row>
    <row r="184" spans="1:6" ht="25.5" x14ac:dyDescent="0.25">
      <c r="A184" s="117" t="s">
        <v>384</v>
      </c>
      <c r="B184" s="126" t="s">
        <v>492</v>
      </c>
      <c r="C184" s="115" t="s">
        <v>95</v>
      </c>
      <c r="D184" s="115" t="s">
        <v>255</v>
      </c>
      <c r="E184" s="116" t="s">
        <v>383</v>
      </c>
      <c r="F184" s="132" t="s">
        <v>105</v>
      </c>
    </row>
    <row r="185" spans="1:6" ht="25.5" x14ac:dyDescent="0.25">
      <c r="A185" s="117">
        <v>545483</v>
      </c>
      <c r="B185" s="125" t="s">
        <v>492</v>
      </c>
      <c r="C185" s="115" t="s">
        <v>95</v>
      </c>
      <c r="D185" s="115" t="s">
        <v>255</v>
      </c>
      <c r="E185" s="116" t="s">
        <v>385</v>
      </c>
      <c r="F185" s="132" t="s">
        <v>105</v>
      </c>
    </row>
    <row r="186" spans="1:6" ht="25.5" x14ac:dyDescent="0.25">
      <c r="A186" s="117" t="s">
        <v>387</v>
      </c>
      <c r="B186" s="125" t="s">
        <v>492</v>
      </c>
      <c r="C186" s="115" t="s">
        <v>95</v>
      </c>
      <c r="D186" s="115" t="s">
        <v>255</v>
      </c>
      <c r="E186" s="116" t="s">
        <v>386</v>
      </c>
      <c r="F186" s="132" t="s">
        <v>105</v>
      </c>
    </row>
    <row r="187" spans="1:6" ht="25.5" x14ac:dyDescent="0.25">
      <c r="A187" s="117" t="s">
        <v>388</v>
      </c>
      <c r="B187" s="125" t="s">
        <v>492</v>
      </c>
      <c r="C187" s="115" t="s">
        <v>107</v>
      </c>
      <c r="D187" s="115" t="s">
        <v>265</v>
      </c>
      <c r="E187" s="116" t="s">
        <v>112</v>
      </c>
      <c r="F187" s="132" t="s">
        <v>105</v>
      </c>
    </row>
    <row r="188" spans="1:6" ht="25.5" x14ac:dyDescent="0.25">
      <c r="A188" s="117" t="s">
        <v>390</v>
      </c>
      <c r="B188" s="126" t="s">
        <v>492</v>
      </c>
      <c r="C188" s="115" t="s">
        <v>107</v>
      </c>
      <c r="D188" s="115" t="s">
        <v>265</v>
      </c>
      <c r="E188" s="116" t="s">
        <v>389</v>
      </c>
      <c r="F188" s="132" t="s">
        <v>105</v>
      </c>
    </row>
    <row r="189" spans="1:6" ht="25.5" x14ac:dyDescent="0.25">
      <c r="A189" s="117">
        <v>545778</v>
      </c>
      <c r="B189" s="125" t="s">
        <v>492</v>
      </c>
      <c r="C189" s="115" t="s">
        <v>95</v>
      </c>
      <c r="D189" s="115" t="s">
        <v>255</v>
      </c>
      <c r="E189" s="116" t="s">
        <v>391</v>
      </c>
      <c r="F189" s="132" t="s">
        <v>477</v>
      </c>
    </row>
    <row r="190" spans="1:6" ht="25.5" x14ac:dyDescent="0.25">
      <c r="A190" s="117">
        <v>545779</v>
      </c>
      <c r="B190" s="125" t="s">
        <v>492</v>
      </c>
      <c r="C190" s="115" t="s">
        <v>95</v>
      </c>
      <c r="D190" s="115" t="s">
        <v>255</v>
      </c>
      <c r="E190" s="116" t="s">
        <v>392</v>
      </c>
      <c r="F190" s="132" t="s">
        <v>477</v>
      </c>
    </row>
    <row r="191" spans="1:6" ht="25.5" x14ac:dyDescent="0.25">
      <c r="A191" s="117">
        <v>545780</v>
      </c>
      <c r="B191" s="125" t="s">
        <v>492</v>
      </c>
      <c r="C191" s="115" t="s">
        <v>95</v>
      </c>
      <c r="D191" s="115" t="s">
        <v>255</v>
      </c>
      <c r="E191" s="116" t="s">
        <v>393</v>
      </c>
      <c r="F191" s="132" t="s">
        <v>477</v>
      </c>
    </row>
    <row r="192" spans="1:6" ht="25.5" x14ac:dyDescent="0.25">
      <c r="A192" s="117">
        <v>545781</v>
      </c>
      <c r="B192" s="125" t="s">
        <v>492</v>
      </c>
      <c r="C192" s="115" t="s">
        <v>95</v>
      </c>
      <c r="D192" s="115" t="s">
        <v>255</v>
      </c>
      <c r="E192" s="116" t="s">
        <v>394</v>
      </c>
      <c r="F192" s="132" t="s">
        <v>477</v>
      </c>
    </row>
    <row r="193" spans="1:6" ht="25.5" x14ac:dyDescent="0.25">
      <c r="A193" s="117" t="s">
        <v>396</v>
      </c>
      <c r="B193" s="125" t="s">
        <v>492</v>
      </c>
      <c r="C193" s="115" t="s">
        <v>95</v>
      </c>
      <c r="D193" s="115" t="s">
        <v>255</v>
      </c>
      <c r="E193" s="116" t="s">
        <v>395</v>
      </c>
      <c r="F193" s="132" t="s">
        <v>477</v>
      </c>
    </row>
    <row r="194" spans="1:6" ht="25.5" x14ac:dyDescent="0.25">
      <c r="A194" s="117">
        <v>545834</v>
      </c>
      <c r="B194" s="125" t="s">
        <v>492</v>
      </c>
      <c r="C194" s="115" t="s">
        <v>95</v>
      </c>
      <c r="D194" s="115" t="s">
        <v>255</v>
      </c>
      <c r="E194" s="116" t="s">
        <v>397</v>
      </c>
      <c r="F194" s="132" t="s">
        <v>477</v>
      </c>
    </row>
    <row r="195" spans="1:6" ht="25.5" x14ac:dyDescent="0.25">
      <c r="A195" s="117">
        <v>545835</v>
      </c>
      <c r="B195" s="125" t="s">
        <v>492</v>
      </c>
      <c r="C195" s="115" t="s">
        <v>95</v>
      </c>
      <c r="D195" s="115" t="s">
        <v>255</v>
      </c>
      <c r="E195" s="116" t="s">
        <v>398</v>
      </c>
      <c r="F195" s="132" t="s">
        <v>477</v>
      </c>
    </row>
    <row r="196" spans="1:6" ht="25.5" x14ac:dyDescent="0.25">
      <c r="A196" s="117">
        <v>545837</v>
      </c>
      <c r="B196" s="125" t="s">
        <v>492</v>
      </c>
      <c r="C196" s="115" t="s">
        <v>95</v>
      </c>
      <c r="D196" s="115" t="s">
        <v>255</v>
      </c>
      <c r="E196" s="116" t="s">
        <v>399</v>
      </c>
      <c r="F196" s="132" t="s">
        <v>477</v>
      </c>
    </row>
    <row r="197" spans="1:6" ht="25.5" x14ac:dyDescent="0.25">
      <c r="A197" s="117">
        <v>545838</v>
      </c>
      <c r="B197" s="125" t="s">
        <v>492</v>
      </c>
      <c r="C197" s="115" t="s">
        <v>95</v>
      </c>
      <c r="D197" s="115" t="s">
        <v>255</v>
      </c>
      <c r="E197" s="116" t="s">
        <v>400</v>
      </c>
      <c r="F197" s="132" t="s">
        <v>477</v>
      </c>
    </row>
    <row r="198" spans="1:6" ht="25.5" x14ac:dyDescent="0.25">
      <c r="A198" s="117">
        <v>545839</v>
      </c>
      <c r="B198" s="125" t="s">
        <v>492</v>
      </c>
      <c r="C198" s="115" t="s">
        <v>95</v>
      </c>
      <c r="D198" s="115" t="s">
        <v>255</v>
      </c>
      <c r="E198" s="116" t="s">
        <v>401</v>
      </c>
      <c r="F198" s="132" t="s">
        <v>477</v>
      </c>
    </row>
    <row r="199" spans="1:6" ht="25.5" x14ac:dyDescent="0.25">
      <c r="A199" s="117" t="s">
        <v>403</v>
      </c>
      <c r="B199" s="125" t="s">
        <v>492</v>
      </c>
      <c r="C199" s="115" t="s">
        <v>107</v>
      </c>
      <c r="D199" s="115" t="s">
        <v>265</v>
      </c>
      <c r="E199" s="116" t="s">
        <v>402</v>
      </c>
      <c r="F199" s="132" t="s">
        <v>477</v>
      </c>
    </row>
    <row r="200" spans="1:6" ht="25.5" x14ac:dyDescent="0.25">
      <c r="A200" s="117" t="s">
        <v>405</v>
      </c>
      <c r="B200" s="125" t="s">
        <v>492</v>
      </c>
      <c r="C200" s="115" t="s">
        <v>107</v>
      </c>
      <c r="D200" s="115" t="s">
        <v>265</v>
      </c>
      <c r="E200" s="116" t="s">
        <v>404</v>
      </c>
      <c r="F200" s="132" t="s">
        <v>477</v>
      </c>
    </row>
    <row r="201" spans="1:6" ht="25.5" x14ac:dyDescent="0.25">
      <c r="A201" s="117">
        <v>545775</v>
      </c>
      <c r="B201" s="126" t="s">
        <v>492</v>
      </c>
      <c r="C201" s="115" t="s">
        <v>95</v>
      </c>
      <c r="D201" s="115" t="s">
        <v>255</v>
      </c>
      <c r="E201" s="116" t="s">
        <v>406</v>
      </c>
      <c r="F201" s="132" t="s">
        <v>490</v>
      </c>
    </row>
    <row r="202" spans="1:6" ht="25.5" x14ac:dyDescent="0.25">
      <c r="A202" s="117" t="s">
        <v>408</v>
      </c>
      <c r="B202" s="126" t="s">
        <v>492</v>
      </c>
      <c r="C202" s="115" t="s">
        <v>95</v>
      </c>
      <c r="D202" s="115" t="s">
        <v>255</v>
      </c>
      <c r="E202" s="116" t="s">
        <v>407</v>
      </c>
      <c r="F202" s="132" t="s">
        <v>490</v>
      </c>
    </row>
    <row r="203" spans="1:6" ht="25.5" x14ac:dyDescent="0.25">
      <c r="A203" s="117" t="s">
        <v>411</v>
      </c>
      <c r="B203" s="126" t="s">
        <v>492</v>
      </c>
      <c r="C203" s="115" t="s">
        <v>87</v>
      </c>
      <c r="D203" s="115" t="s">
        <v>409</v>
      </c>
      <c r="E203" s="116" t="s">
        <v>410</v>
      </c>
      <c r="F203" s="132" t="s">
        <v>103</v>
      </c>
    </row>
    <row r="204" spans="1:6" ht="25.5" x14ac:dyDescent="0.25">
      <c r="A204" s="117" t="s">
        <v>413</v>
      </c>
      <c r="B204" s="126" t="s">
        <v>492</v>
      </c>
      <c r="C204" s="115" t="s">
        <v>87</v>
      </c>
      <c r="D204" s="115" t="s">
        <v>409</v>
      </c>
      <c r="E204" s="116" t="s">
        <v>412</v>
      </c>
      <c r="F204" s="132" t="s">
        <v>103</v>
      </c>
    </row>
    <row r="205" spans="1:6" ht="25.5" x14ac:dyDescent="0.25">
      <c r="A205" s="117" t="s">
        <v>415</v>
      </c>
      <c r="B205" s="126" t="s">
        <v>492</v>
      </c>
      <c r="C205" s="115" t="s">
        <v>87</v>
      </c>
      <c r="D205" s="115" t="s">
        <v>409</v>
      </c>
      <c r="E205" s="116" t="s">
        <v>414</v>
      </c>
      <c r="F205" s="132" t="s">
        <v>103</v>
      </c>
    </row>
    <row r="206" spans="1:6" ht="25.5" x14ac:dyDescent="0.25">
      <c r="A206" s="117">
        <v>545773</v>
      </c>
      <c r="B206" s="125" t="s">
        <v>492</v>
      </c>
      <c r="C206" s="115" t="s">
        <v>95</v>
      </c>
      <c r="D206" s="115" t="s">
        <v>255</v>
      </c>
      <c r="E206" s="116" t="s">
        <v>416</v>
      </c>
      <c r="F206" s="132" t="s">
        <v>490</v>
      </c>
    </row>
    <row r="207" spans="1:6" ht="25.5" x14ac:dyDescent="0.25">
      <c r="A207" s="117">
        <v>545774</v>
      </c>
      <c r="B207" s="125" t="s">
        <v>492</v>
      </c>
      <c r="C207" s="115" t="s">
        <v>95</v>
      </c>
      <c r="D207" s="115" t="s">
        <v>255</v>
      </c>
      <c r="E207" s="116" t="s">
        <v>417</v>
      </c>
      <c r="F207" s="132" t="s">
        <v>490</v>
      </c>
    </row>
    <row r="208" spans="1:6" ht="25.5" x14ac:dyDescent="0.25">
      <c r="A208" s="117">
        <v>545777</v>
      </c>
      <c r="B208" s="125" t="s">
        <v>492</v>
      </c>
      <c r="C208" s="115" t="s">
        <v>95</v>
      </c>
      <c r="D208" s="115" t="s">
        <v>255</v>
      </c>
      <c r="E208" s="116" t="s">
        <v>418</v>
      </c>
      <c r="F208" s="132" t="s">
        <v>490</v>
      </c>
    </row>
    <row r="209" spans="1:6" ht="25.5" x14ac:dyDescent="0.25">
      <c r="A209" s="117">
        <v>573320</v>
      </c>
      <c r="B209" s="126" t="s">
        <v>492</v>
      </c>
      <c r="C209" s="115" t="s">
        <v>107</v>
      </c>
      <c r="D209" s="115" t="s">
        <v>257</v>
      </c>
      <c r="E209" s="116" t="s">
        <v>419</v>
      </c>
      <c r="F209" s="132" t="s">
        <v>490</v>
      </c>
    </row>
    <row r="210" spans="1:6" ht="25.5" x14ac:dyDescent="0.25">
      <c r="A210" s="117">
        <v>573327</v>
      </c>
      <c r="B210" s="126" t="s">
        <v>492</v>
      </c>
      <c r="C210" s="115" t="s">
        <v>107</v>
      </c>
      <c r="D210" s="115" t="s">
        <v>257</v>
      </c>
      <c r="E210" s="116" t="s">
        <v>420</v>
      </c>
      <c r="F210" s="132" t="s">
        <v>490</v>
      </c>
    </row>
    <row r="211" spans="1:6" ht="25.5" x14ac:dyDescent="0.25">
      <c r="A211" s="117">
        <v>573328</v>
      </c>
      <c r="B211" s="125" t="s">
        <v>492</v>
      </c>
      <c r="C211" s="115" t="s">
        <v>107</v>
      </c>
      <c r="D211" s="115" t="s">
        <v>257</v>
      </c>
      <c r="E211" s="116" t="s">
        <v>421</v>
      </c>
      <c r="F211" s="132" t="s">
        <v>480</v>
      </c>
    </row>
    <row r="212" spans="1:6" ht="25.5" x14ac:dyDescent="0.25">
      <c r="A212" s="117">
        <v>573329</v>
      </c>
      <c r="B212" s="126" t="s">
        <v>492</v>
      </c>
      <c r="C212" s="115" t="s">
        <v>107</v>
      </c>
      <c r="D212" s="115" t="s">
        <v>257</v>
      </c>
      <c r="E212" s="116" t="s">
        <v>422</v>
      </c>
      <c r="F212" s="132" t="s">
        <v>490</v>
      </c>
    </row>
    <row r="213" spans="1:6" ht="25.5" x14ac:dyDescent="0.25">
      <c r="A213" s="117">
        <v>573333</v>
      </c>
      <c r="B213" s="126" t="s">
        <v>492</v>
      </c>
      <c r="C213" s="115" t="s">
        <v>107</v>
      </c>
      <c r="D213" s="115" t="s">
        <v>257</v>
      </c>
      <c r="E213" s="116" t="s">
        <v>423</v>
      </c>
      <c r="F213" s="132" t="s">
        <v>490</v>
      </c>
    </row>
    <row r="214" spans="1:6" ht="25.5" x14ac:dyDescent="0.25">
      <c r="A214" s="117" t="s">
        <v>408</v>
      </c>
      <c r="B214" s="125" t="s">
        <v>492</v>
      </c>
      <c r="C214" s="115" t="s">
        <v>95</v>
      </c>
      <c r="D214" s="115" t="s">
        <v>255</v>
      </c>
      <c r="E214" s="116" t="s">
        <v>407</v>
      </c>
      <c r="F214" s="132" t="s">
        <v>490</v>
      </c>
    </row>
    <row r="215" spans="1:6" ht="25.5" x14ac:dyDescent="0.25">
      <c r="A215" s="117" t="s">
        <v>425</v>
      </c>
      <c r="B215" s="125" t="s">
        <v>492</v>
      </c>
      <c r="C215" s="115" t="s">
        <v>107</v>
      </c>
      <c r="D215" s="115" t="s">
        <v>265</v>
      </c>
      <c r="E215" s="116" t="s">
        <v>424</v>
      </c>
      <c r="F215" s="132" t="s">
        <v>490</v>
      </c>
    </row>
    <row r="216" spans="1:6" ht="25.5" x14ac:dyDescent="0.25">
      <c r="A216" s="117" t="s">
        <v>427</v>
      </c>
      <c r="B216" s="125" t="s">
        <v>492</v>
      </c>
      <c r="C216" s="115" t="s">
        <v>87</v>
      </c>
      <c r="D216" s="115" t="s">
        <v>409</v>
      </c>
      <c r="E216" s="116" t="s">
        <v>426</v>
      </c>
      <c r="F216" s="132" t="s">
        <v>103</v>
      </c>
    </row>
    <row r="217" spans="1:6" ht="25.5" x14ac:dyDescent="0.25">
      <c r="A217" s="117" t="s">
        <v>429</v>
      </c>
      <c r="B217" s="126" t="s">
        <v>492</v>
      </c>
      <c r="C217" s="115" t="s">
        <v>87</v>
      </c>
      <c r="D217" s="115" t="s">
        <v>409</v>
      </c>
      <c r="E217" s="116" t="s">
        <v>428</v>
      </c>
      <c r="F217" s="132" t="s">
        <v>103</v>
      </c>
    </row>
    <row r="218" spans="1:6" ht="25.5" x14ac:dyDescent="0.25">
      <c r="A218" s="117" t="s">
        <v>431</v>
      </c>
      <c r="B218" s="126" t="s">
        <v>492</v>
      </c>
      <c r="C218" s="115" t="s">
        <v>87</v>
      </c>
      <c r="D218" s="115" t="s">
        <v>409</v>
      </c>
      <c r="E218" s="116" t="s">
        <v>430</v>
      </c>
      <c r="F218" s="132" t="s">
        <v>103</v>
      </c>
    </row>
    <row r="219" spans="1:6" ht="25.5" x14ac:dyDescent="0.25">
      <c r="A219" s="117" t="s">
        <v>433</v>
      </c>
      <c r="B219" s="125" t="s">
        <v>492</v>
      </c>
      <c r="C219" s="115" t="s">
        <v>87</v>
      </c>
      <c r="D219" s="115" t="s">
        <v>409</v>
      </c>
      <c r="E219" s="116" t="s">
        <v>432</v>
      </c>
      <c r="F219" s="132" t="s">
        <v>103</v>
      </c>
    </row>
    <row r="220" spans="1:6" ht="25.5" x14ac:dyDescent="0.25">
      <c r="A220" s="117">
        <v>545622</v>
      </c>
      <c r="B220" s="131" t="s">
        <v>492</v>
      </c>
      <c r="C220" s="115" t="s">
        <v>107</v>
      </c>
      <c r="D220" s="115" t="s">
        <v>253</v>
      </c>
      <c r="E220" s="116" t="s">
        <v>434</v>
      </c>
      <c r="F220" s="132" t="s">
        <v>106</v>
      </c>
    </row>
    <row r="221" spans="1:6" ht="25.5" x14ac:dyDescent="0.25">
      <c r="A221" s="117">
        <v>574112</v>
      </c>
      <c r="B221" s="131" t="s">
        <v>492</v>
      </c>
      <c r="C221" s="115" t="s">
        <v>95</v>
      </c>
      <c r="D221" s="115" t="s">
        <v>435</v>
      </c>
      <c r="E221" s="116" t="s">
        <v>436</v>
      </c>
      <c r="F221" s="132" t="s">
        <v>106</v>
      </c>
    </row>
    <row r="222" spans="1:6" ht="25.5" x14ac:dyDescent="0.25">
      <c r="A222" s="117">
        <v>545782</v>
      </c>
      <c r="B222" s="126" t="s">
        <v>492</v>
      </c>
      <c r="C222" s="115" t="s">
        <v>95</v>
      </c>
      <c r="D222" s="115" t="s">
        <v>255</v>
      </c>
      <c r="E222" s="116" t="s">
        <v>437</v>
      </c>
      <c r="F222" s="132" t="s">
        <v>106</v>
      </c>
    </row>
    <row r="223" spans="1:6" ht="25.5" x14ac:dyDescent="0.25">
      <c r="A223" s="117">
        <v>545784</v>
      </c>
      <c r="B223" s="126" t="s">
        <v>492</v>
      </c>
      <c r="C223" s="115" t="s">
        <v>95</v>
      </c>
      <c r="D223" s="115" t="s">
        <v>255</v>
      </c>
      <c r="E223" s="116" t="s">
        <v>438</v>
      </c>
      <c r="F223" s="132" t="s">
        <v>106</v>
      </c>
    </row>
    <row r="224" spans="1:6" ht="25.5" x14ac:dyDescent="0.25">
      <c r="A224" s="117">
        <v>545836</v>
      </c>
      <c r="B224" s="125" t="s">
        <v>492</v>
      </c>
      <c r="C224" s="115" t="s">
        <v>95</v>
      </c>
      <c r="D224" s="115" t="s">
        <v>255</v>
      </c>
      <c r="E224" s="116" t="s">
        <v>439</v>
      </c>
      <c r="F224" s="132" t="s">
        <v>106</v>
      </c>
    </row>
    <row r="225" spans="1:6" ht="25.5" x14ac:dyDescent="0.25">
      <c r="A225" s="117">
        <v>549371</v>
      </c>
      <c r="B225" s="126" t="s">
        <v>492</v>
      </c>
      <c r="C225" s="115" t="s">
        <v>95</v>
      </c>
      <c r="D225" s="115" t="s">
        <v>255</v>
      </c>
      <c r="E225" s="116" t="s">
        <v>440</v>
      </c>
      <c r="F225" s="132" t="s">
        <v>106</v>
      </c>
    </row>
    <row r="226" spans="1:6" ht="25.5" x14ac:dyDescent="0.25">
      <c r="A226" s="117">
        <v>549373</v>
      </c>
      <c r="B226" s="125" t="s">
        <v>492</v>
      </c>
      <c r="C226" s="115" t="s">
        <v>95</v>
      </c>
      <c r="D226" s="115" t="s">
        <v>255</v>
      </c>
      <c r="E226" s="116" t="s">
        <v>441</v>
      </c>
      <c r="F226" s="132" t="s">
        <v>106</v>
      </c>
    </row>
    <row r="227" spans="1:6" ht="25.5" x14ac:dyDescent="0.25">
      <c r="A227" s="117">
        <v>549374</v>
      </c>
      <c r="B227" s="126" t="s">
        <v>492</v>
      </c>
      <c r="C227" s="115" t="s">
        <v>95</v>
      </c>
      <c r="D227" s="115" t="s">
        <v>255</v>
      </c>
      <c r="E227" s="116" t="s">
        <v>442</v>
      </c>
      <c r="F227" s="132" t="s">
        <v>106</v>
      </c>
    </row>
    <row r="228" spans="1:6" ht="25.5" x14ac:dyDescent="0.25">
      <c r="A228" s="117">
        <v>549375</v>
      </c>
      <c r="B228" s="126" t="s">
        <v>492</v>
      </c>
      <c r="C228" s="115" t="s">
        <v>95</v>
      </c>
      <c r="D228" s="115" t="s">
        <v>255</v>
      </c>
      <c r="E228" s="116" t="s">
        <v>443</v>
      </c>
      <c r="F228" s="132" t="s">
        <v>106</v>
      </c>
    </row>
    <row r="229" spans="1:6" ht="25.5" x14ac:dyDescent="0.25">
      <c r="A229" s="117">
        <v>549376</v>
      </c>
      <c r="B229" s="125" t="s">
        <v>492</v>
      </c>
      <c r="C229" s="115" t="s">
        <v>95</v>
      </c>
      <c r="D229" s="115" t="s">
        <v>255</v>
      </c>
      <c r="E229" s="116" t="s">
        <v>444</v>
      </c>
      <c r="F229" s="132" t="s">
        <v>106</v>
      </c>
    </row>
    <row r="230" spans="1:6" ht="25.5" x14ac:dyDescent="0.25">
      <c r="A230" s="117">
        <v>574118</v>
      </c>
      <c r="B230" s="126" t="s">
        <v>492</v>
      </c>
      <c r="C230" s="115" t="s">
        <v>95</v>
      </c>
      <c r="D230" s="115" t="s">
        <v>435</v>
      </c>
      <c r="E230" s="116" t="s">
        <v>445</v>
      </c>
      <c r="F230" s="132" t="s">
        <v>106</v>
      </c>
    </row>
    <row r="231" spans="1:6" ht="25.5" x14ac:dyDescent="0.25">
      <c r="A231" s="120">
        <v>540840</v>
      </c>
      <c r="B231" s="127" t="s">
        <v>492</v>
      </c>
      <c r="C231" s="118" t="s">
        <v>199</v>
      </c>
      <c r="D231" s="118" t="s">
        <v>208</v>
      </c>
      <c r="E231" s="119">
        <v>62222008</v>
      </c>
      <c r="F231" s="133" t="s">
        <v>485</v>
      </c>
    </row>
    <row r="232" spans="1:6" ht="25.5" x14ac:dyDescent="0.25">
      <c r="A232" s="117">
        <v>573325</v>
      </c>
      <c r="B232" s="126" t="s">
        <v>492</v>
      </c>
      <c r="C232" s="115" t="s">
        <v>107</v>
      </c>
      <c r="D232" s="115" t="s">
        <v>257</v>
      </c>
      <c r="E232" s="116" t="s">
        <v>446</v>
      </c>
      <c r="F232" s="132" t="s">
        <v>485</v>
      </c>
    </row>
    <row r="233" spans="1:6" ht="25.5" x14ac:dyDescent="0.25">
      <c r="A233" s="117" t="s">
        <v>448</v>
      </c>
      <c r="B233" s="126" t="s">
        <v>492</v>
      </c>
      <c r="C233" s="115" t="s">
        <v>107</v>
      </c>
      <c r="D233" s="115" t="s">
        <v>265</v>
      </c>
      <c r="E233" s="116" t="s">
        <v>447</v>
      </c>
      <c r="F233" s="132" t="s">
        <v>485</v>
      </c>
    </row>
    <row r="234" spans="1:6" ht="25.5" x14ac:dyDescent="0.25">
      <c r="A234" s="117" t="s">
        <v>450</v>
      </c>
      <c r="B234" s="125" t="s">
        <v>492</v>
      </c>
      <c r="C234" s="115" t="s">
        <v>126</v>
      </c>
      <c r="D234" s="115" t="s">
        <v>279</v>
      </c>
      <c r="E234" s="116" t="s">
        <v>449</v>
      </c>
      <c r="F234" s="132" t="s">
        <v>485</v>
      </c>
    </row>
    <row r="235" spans="1:6" ht="25.5" x14ac:dyDescent="0.25">
      <c r="A235" s="117" t="s">
        <v>452</v>
      </c>
      <c r="B235" s="125" t="s">
        <v>492</v>
      </c>
      <c r="C235" s="115" t="s">
        <v>126</v>
      </c>
      <c r="D235" s="115" t="s">
        <v>279</v>
      </c>
      <c r="E235" s="116" t="s">
        <v>451</v>
      </c>
      <c r="F235" s="132" t="s">
        <v>485</v>
      </c>
    </row>
    <row r="236" spans="1:6" ht="25.5" x14ac:dyDescent="0.25">
      <c r="A236" s="117" t="s">
        <v>454</v>
      </c>
      <c r="B236" s="125" t="s">
        <v>492</v>
      </c>
      <c r="C236" s="115" t="s">
        <v>126</v>
      </c>
      <c r="D236" s="115" t="s">
        <v>279</v>
      </c>
      <c r="E236" s="116" t="s">
        <v>453</v>
      </c>
      <c r="F236" s="132" t="s">
        <v>485</v>
      </c>
    </row>
    <row r="237" spans="1:6" ht="25.5" x14ac:dyDescent="0.25">
      <c r="A237" s="117" t="s">
        <v>456</v>
      </c>
      <c r="B237" s="125" t="s">
        <v>492</v>
      </c>
      <c r="C237" s="115" t="s">
        <v>126</v>
      </c>
      <c r="D237" s="115" t="s">
        <v>279</v>
      </c>
      <c r="E237" s="116" t="s">
        <v>455</v>
      </c>
      <c r="F237" s="132" t="s">
        <v>485</v>
      </c>
    </row>
    <row r="238" spans="1:6" ht="25.5" x14ac:dyDescent="0.25">
      <c r="A238" s="117" t="s">
        <v>458</v>
      </c>
      <c r="B238" s="126" t="s">
        <v>492</v>
      </c>
      <c r="C238" s="115" t="s">
        <v>107</v>
      </c>
      <c r="D238" s="115" t="s">
        <v>265</v>
      </c>
      <c r="E238" s="116" t="s">
        <v>457</v>
      </c>
      <c r="F238" s="132" t="s">
        <v>485</v>
      </c>
    </row>
    <row r="239" spans="1:6" ht="25.5" x14ac:dyDescent="0.25">
      <c r="A239" s="117" t="s">
        <v>460</v>
      </c>
      <c r="B239" s="126" t="s">
        <v>492</v>
      </c>
      <c r="C239" s="115" t="s">
        <v>107</v>
      </c>
      <c r="D239" s="115" t="s">
        <v>265</v>
      </c>
      <c r="E239" s="116" t="s">
        <v>459</v>
      </c>
      <c r="F239" s="132" t="s">
        <v>485</v>
      </c>
    </row>
    <row r="240" spans="1:6" ht="25.5" x14ac:dyDescent="0.25">
      <c r="A240" s="117" t="s">
        <v>462</v>
      </c>
      <c r="B240" s="126" t="s">
        <v>492</v>
      </c>
      <c r="C240" s="115" t="s">
        <v>107</v>
      </c>
      <c r="D240" s="115" t="s">
        <v>265</v>
      </c>
      <c r="E240" s="116" t="s">
        <v>461</v>
      </c>
      <c r="F240" s="132" t="s">
        <v>485</v>
      </c>
    </row>
    <row r="241" spans="1:6" ht="25.5" x14ac:dyDescent="0.25">
      <c r="A241" s="117" t="s">
        <v>464</v>
      </c>
      <c r="B241" s="126" t="s">
        <v>492</v>
      </c>
      <c r="C241" s="115" t="s">
        <v>107</v>
      </c>
      <c r="D241" s="115" t="s">
        <v>265</v>
      </c>
      <c r="E241" s="116" t="s">
        <v>463</v>
      </c>
      <c r="F241" s="132" t="s">
        <v>485</v>
      </c>
    </row>
    <row r="242" spans="1:6" ht="25.5" x14ac:dyDescent="0.25">
      <c r="A242" s="117">
        <v>574113</v>
      </c>
      <c r="B242" s="126" t="s">
        <v>492</v>
      </c>
      <c r="C242" s="115" t="s">
        <v>95</v>
      </c>
      <c r="D242" s="115" t="s">
        <v>435</v>
      </c>
      <c r="E242" s="116" t="s">
        <v>465</v>
      </c>
      <c r="F242" s="132" t="s">
        <v>80</v>
      </c>
    </row>
    <row r="243" spans="1:6" ht="25.5" x14ac:dyDescent="0.25">
      <c r="A243" s="117">
        <v>574114</v>
      </c>
      <c r="B243" s="126" t="s">
        <v>492</v>
      </c>
      <c r="C243" s="115" t="s">
        <v>95</v>
      </c>
      <c r="D243" s="115" t="s">
        <v>435</v>
      </c>
      <c r="E243" s="116" t="s">
        <v>466</v>
      </c>
      <c r="F243" s="132" t="s">
        <v>487</v>
      </c>
    </row>
    <row r="244" spans="1:6" ht="25.5" x14ac:dyDescent="0.25">
      <c r="A244" s="117">
        <v>574115</v>
      </c>
      <c r="B244" s="126" t="s">
        <v>492</v>
      </c>
      <c r="C244" s="115" t="s">
        <v>95</v>
      </c>
      <c r="D244" s="115" t="s">
        <v>435</v>
      </c>
      <c r="E244" s="116" t="s">
        <v>467</v>
      </c>
      <c r="F244" s="132" t="s">
        <v>487</v>
      </c>
    </row>
    <row r="245" spans="1:6" ht="25.5" x14ac:dyDescent="0.25">
      <c r="A245" s="117">
        <v>574116</v>
      </c>
      <c r="B245" s="126" t="s">
        <v>492</v>
      </c>
      <c r="C245" s="115" t="s">
        <v>95</v>
      </c>
      <c r="D245" s="115" t="s">
        <v>435</v>
      </c>
      <c r="E245" s="116" t="s">
        <v>468</v>
      </c>
      <c r="F245" s="132" t="s">
        <v>487</v>
      </c>
    </row>
    <row r="246" spans="1:6" ht="25.5" x14ac:dyDescent="0.25">
      <c r="A246" s="117">
        <v>574119</v>
      </c>
      <c r="B246" s="126" t="s">
        <v>492</v>
      </c>
      <c r="C246" s="115" t="s">
        <v>95</v>
      </c>
      <c r="D246" s="115" t="s">
        <v>435</v>
      </c>
      <c r="E246" s="116" t="s">
        <v>469</v>
      </c>
      <c r="F246" s="132" t="s">
        <v>487</v>
      </c>
    </row>
    <row r="247" spans="1:6" ht="25.5" x14ac:dyDescent="0.25">
      <c r="A247" s="117">
        <v>574120</v>
      </c>
      <c r="B247" s="126" t="s">
        <v>492</v>
      </c>
      <c r="C247" s="115" t="s">
        <v>95</v>
      </c>
      <c r="D247" s="115" t="s">
        <v>435</v>
      </c>
      <c r="E247" s="116" t="s">
        <v>470</v>
      </c>
      <c r="F247" s="132" t="s">
        <v>487</v>
      </c>
    </row>
    <row r="248" spans="1:6" ht="25.5" x14ac:dyDescent="0.25">
      <c r="A248" s="117">
        <v>574121</v>
      </c>
      <c r="B248" s="126" t="s">
        <v>492</v>
      </c>
      <c r="C248" s="115" t="s">
        <v>95</v>
      </c>
      <c r="D248" s="115" t="s">
        <v>435</v>
      </c>
      <c r="E248" s="116" t="s">
        <v>471</v>
      </c>
      <c r="F248" s="132" t="s">
        <v>487</v>
      </c>
    </row>
    <row r="249" spans="1:6" ht="25.5" x14ac:dyDescent="0.25">
      <c r="A249" s="117">
        <v>574110</v>
      </c>
      <c r="B249" s="125" t="s">
        <v>492</v>
      </c>
      <c r="C249" s="115" t="s">
        <v>95</v>
      </c>
      <c r="D249" s="115" t="s">
        <v>435</v>
      </c>
      <c r="E249" s="116" t="s">
        <v>470</v>
      </c>
      <c r="F249" s="132" t="s">
        <v>487</v>
      </c>
    </row>
    <row r="250" spans="1:6" ht="25.5" x14ac:dyDescent="0.25">
      <c r="A250" s="142">
        <v>574117</v>
      </c>
      <c r="B250" s="139" t="s">
        <v>492</v>
      </c>
      <c r="C250" s="140" t="s">
        <v>95</v>
      </c>
      <c r="D250" s="140" t="s">
        <v>435</v>
      </c>
      <c r="E250" s="141" t="s">
        <v>472</v>
      </c>
      <c r="F250" s="143" t="s">
        <v>487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AX92"/>
  <sheetViews>
    <sheetView tabSelected="1" topLeftCell="B1" zoomScale="124" zoomScaleNormal="124" zoomScalePageLayoutView="85" workbookViewId="0">
      <selection activeCell="S9" sqref="S9"/>
    </sheetView>
  </sheetViews>
  <sheetFormatPr baseColWidth="10" defaultColWidth="11.42578125" defaultRowHeight="12.75" x14ac:dyDescent="0.2"/>
  <cols>
    <col min="1" max="1" width="11.42578125" style="1"/>
    <col min="2" max="4" width="5.140625" style="1" customWidth="1"/>
    <col min="5" max="6" width="3.7109375" style="1" customWidth="1"/>
    <col min="7" max="13" width="6.140625" style="1" customWidth="1"/>
    <col min="14" max="19" width="3.7109375" style="1" customWidth="1"/>
    <col min="20" max="25" width="6.140625" style="1" customWidth="1"/>
    <col min="26" max="27" width="3.7109375" style="1" customWidth="1"/>
    <col min="28" max="16384" width="11.42578125" style="1"/>
  </cols>
  <sheetData>
    <row r="1" spans="2:50" ht="15" customHeight="1" x14ac:dyDescent="0.2">
      <c r="B1" s="34"/>
      <c r="C1" s="34"/>
      <c r="D1" s="34"/>
      <c r="E1" s="14" t="s">
        <v>0</v>
      </c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3" t="s">
        <v>63</v>
      </c>
      <c r="U1" s="3"/>
      <c r="V1" s="3"/>
      <c r="W1" s="3"/>
      <c r="X1" s="3"/>
      <c r="Y1" s="3"/>
    </row>
    <row r="2" spans="2:50" ht="12.6" customHeight="1" x14ac:dyDescent="0.2">
      <c r="B2" s="34"/>
      <c r="C2" s="34"/>
      <c r="D2" s="3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3"/>
      <c r="U2" s="3"/>
      <c r="V2" s="3"/>
      <c r="W2" s="3"/>
      <c r="X2" s="3"/>
      <c r="Y2" s="3"/>
    </row>
    <row r="3" spans="2:50" ht="15" customHeight="1" x14ac:dyDescent="0.2">
      <c r="B3" s="34"/>
      <c r="C3" s="34"/>
      <c r="D3" s="34"/>
      <c r="E3" s="4" t="s">
        <v>56</v>
      </c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3"/>
      <c r="U3" s="3"/>
      <c r="V3" s="3"/>
      <c r="W3" s="3"/>
      <c r="X3" s="3"/>
      <c r="Y3" s="3"/>
    </row>
    <row r="4" spans="2:50" ht="12.95" customHeight="1" x14ac:dyDescent="0.2">
      <c r="B4" s="34"/>
      <c r="C4" s="34"/>
      <c r="D4" s="3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3"/>
      <c r="U4" s="3"/>
      <c r="V4" s="3"/>
      <c r="W4" s="3"/>
      <c r="X4" s="3"/>
      <c r="Y4" s="3"/>
    </row>
    <row r="5" spans="2:50" ht="5.0999999999999996" customHeight="1" thickBot="1" x14ac:dyDescent="0.25"/>
    <row r="6" spans="2:50" ht="14.45" customHeight="1" x14ac:dyDescent="0.2">
      <c r="B6" s="5" t="s">
        <v>57</v>
      </c>
      <c r="C6" s="6"/>
      <c r="D6" s="7"/>
      <c r="E6" s="144" t="str">
        <f>BÚSQUEDA!B5</f>
        <v>MONITOR DE SIGNOS VITALES</v>
      </c>
      <c r="F6" s="145"/>
      <c r="G6" s="145"/>
      <c r="H6" s="145"/>
      <c r="I6" s="145"/>
      <c r="J6" s="145"/>
      <c r="K6" s="145"/>
      <c r="L6" s="145"/>
      <c r="M6" s="146"/>
      <c r="N6" s="43" t="s">
        <v>60</v>
      </c>
      <c r="O6" s="43"/>
      <c r="P6" s="43"/>
      <c r="Q6" s="43"/>
      <c r="R6" s="43"/>
      <c r="S6" s="44" t="str">
        <f>BÚSQUEDA!B6</f>
        <v>EDAN</v>
      </c>
      <c r="T6" s="44"/>
      <c r="U6" s="44"/>
      <c r="V6" s="44"/>
      <c r="W6" s="44"/>
      <c r="X6" s="44"/>
      <c r="Y6" s="45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</row>
    <row r="7" spans="2:50" x14ac:dyDescent="0.2">
      <c r="B7" s="8" t="s">
        <v>58</v>
      </c>
      <c r="C7" s="9"/>
      <c r="D7" s="10"/>
      <c r="E7" s="147" t="str">
        <f>BÚSQUEDA!B7</f>
        <v>M50</v>
      </c>
      <c r="F7" s="148"/>
      <c r="G7" s="148"/>
      <c r="H7" s="148"/>
      <c r="I7" s="148"/>
      <c r="J7" s="148"/>
      <c r="K7" s="148"/>
      <c r="L7" s="148"/>
      <c r="M7" s="149"/>
      <c r="N7" s="15" t="s">
        <v>61</v>
      </c>
      <c r="O7" s="15"/>
      <c r="P7" s="15"/>
      <c r="Q7" s="15"/>
      <c r="R7" s="15"/>
      <c r="S7" s="16" t="str">
        <f>BÚSQUEDA!B8</f>
        <v>333123-M14102120037</v>
      </c>
      <c r="T7" s="16"/>
      <c r="U7" s="16"/>
      <c r="V7" s="16"/>
      <c r="W7" s="16"/>
      <c r="X7" s="16"/>
      <c r="Y7" s="17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</row>
    <row r="8" spans="2:50" ht="15" customHeight="1" thickBot="1" x14ac:dyDescent="0.25">
      <c r="B8" s="11" t="s">
        <v>59</v>
      </c>
      <c r="C8" s="12"/>
      <c r="D8" s="13"/>
      <c r="E8" s="150">
        <f>BÚSQUEDA!B4</f>
        <v>545688</v>
      </c>
      <c r="F8" s="151"/>
      <c r="G8" s="151"/>
      <c r="H8" s="151"/>
      <c r="I8" s="151"/>
      <c r="J8" s="151"/>
      <c r="K8" s="151"/>
      <c r="L8" s="151"/>
      <c r="M8" s="152"/>
      <c r="N8" s="18" t="s">
        <v>62</v>
      </c>
      <c r="O8" s="18"/>
      <c r="P8" s="18"/>
      <c r="Q8" s="18"/>
      <c r="R8" s="18"/>
      <c r="S8" s="19" t="str">
        <f>BÚSQUEDA!B9</f>
        <v>URGENCIAS</v>
      </c>
      <c r="T8" s="19"/>
      <c r="U8" s="19"/>
      <c r="V8" s="19"/>
      <c r="W8" s="19"/>
      <c r="X8" s="19"/>
      <c r="Y8" s="20"/>
    </row>
    <row r="9" spans="2:50" ht="5.0999999999999996" customHeight="1" thickBot="1" x14ac:dyDescent="0.25"/>
    <row r="10" spans="2:50" x14ac:dyDescent="0.2">
      <c r="B10" s="66" t="s">
        <v>5</v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8"/>
      <c r="T10" s="85" t="s">
        <v>1</v>
      </c>
      <c r="U10" s="86"/>
      <c r="V10" s="86"/>
      <c r="W10" s="86"/>
      <c r="X10" s="86"/>
      <c r="Y10" s="87"/>
    </row>
    <row r="11" spans="2:50" ht="13.5" thickBot="1" x14ac:dyDescent="0.25">
      <c r="B11" s="69"/>
      <c r="C11" s="70"/>
      <c r="D11" s="70"/>
      <c r="E11" s="70"/>
      <c r="F11" s="70"/>
      <c r="G11" s="70"/>
      <c r="H11" s="70"/>
      <c r="I11" s="70"/>
      <c r="J11" s="70"/>
      <c r="K11" s="70"/>
      <c r="L11" s="70"/>
      <c r="M11" s="70"/>
      <c r="N11" s="70"/>
      <c r="O11" s="70"/>
      <c r="P11" s="70"/>
      <c r="Q11" s="70"/>
      <c r="R11" s="71"/>
      <c r="T11" s="36"/>
      <c r="U11" s="37"/>
      <c r="V11" s="37"/>
      <c r="W11" s="37"/>
      <c r="X11" s="37"/>
      <c r="Y11" s="38"/>
    </row>
    <row r="12" spans="2:50" ht="5.0999999999999996" customHeight="1" thickBot="1" x14ac:dyDescent="0.25">
      <c r="B12" s="69"/>
      <c r="C12" s="70"/>
      <c r="D12" s="70"/>
      <c r="E12" s="70"/>
      <c r="F12" s="70"/>
      <c r="G12" s="70"/>
      <c r="H12" s="70"/>
      <c r="I12" s="70"/>
      <c r="J12" s="70"/>
      <c r="K12" s="70"/>
      <c r="L12" s="70"/>
      <c r="M12" s="70"/>
      <c r="N12" s="70"/>
      <c r="O12" s="70"/>
      <c r="P12" s="70"/>
      <c r="Q12" s="70"/>
      <c r="R12" s="71"/>
    </row>
    <row r="13" spans="2:50" ht="13.5" thickBot="1" x14ac:dyDescent="0.25">
      <c r="B13" s="69"/>
      <c r="C13" s="70"/>
      <c r="D13" s="70"/>
      <c r="E13" s="70"/>
      <c r="F13" s="70"/>
      <c r="G13" s="70"/>
      <c r="H13" s="70"/>
      <c r="I13" s="70"/>
      <c r="J13" s="70"/>
      <c r="K13" s="70"/>
      <c r="L13" s="70"/>
      <c r="M13" s="70"/>
      <c r="N13" s="70"/>
      <c r="O13" s="70"/>
      <c r="P13" s="70"/>
      <c r="Q13" s="70"/>
      <c r="R13" s="71"/>
      <c r="T13" s="39" t="s">
        <v>2</v>
      </c>
      <c r="U13" s="84"/>
      <c r="V13" s="40" t="s">
        <v>3</v>
      </c>
      <c r="W13" s="40"/>
      <c r="X13" s="40" t="s">
        <v>4</v>
      </c>
      <c r="Y13" s="83"/>
    </row>
    <row r="14" spans="2:50" ht="24.6" customHeight="1" x14ac:dyDescent="0.2">
      <c r="B14" s="53" t="s">
        <v>19</v>
      </c>
      <c r="C14" s="54"/>
      <c r="D14" s="55"/>
      <c r="E14" s="46" t="s">
        <v>24</v>
      </c>
      <c r="F14" s="46"/>
      <c r="G14" s="46"/>
      <c r="H14" s="46"/>
      <c r="I14" s="46"/>
      <c r="J14" s="46"/>
      <c r="K14" s="46"/>
      <c r="L14" s="46"/>
      <c r="M14" s="46"/>
      <c r="N14" s="46"/>
      <c r="O14" s="46"/>
      <c r="P14" s="46"/>
      <c r="Q14" s="46"/>
      <c r="R14" s="47"/>
      <c r="T14" s="88"/>
      <c r="U14" s="50"/>
      <c r="V14" s="50"/>
      <c r="W14" s="50"/>
      <c r="X14" s="50"/>
      <c r="Y14" s="51"/>
    </row>
    <row r="15" spans="2:50" ht="24.6" customHeight="1" x14ac:dyDescent="0.2">
      <c r="B15" s="56"/>
      <c r="C15" s="57"/>
      <c r="D15" s="58"/>
      <c r="E15" s="62" t="s">
        <v>25</v>
      </c>
      <c r="F15" s="62"/>
      <c r="G15" s="62"/>
      <c r="H15" s="62"/>
      <c r="I15" s="62"/>
      <c r="J15" s="62"/>
      <c r="K15" s="62"/>
      <c r="L15" s="62"/>
      <c r="M15" s="62"/>
      <c r="N15" s="62"/>
      <c r="O15" s="62"/>
      <c r="P15" s="62"/>
      <c r="Q15" s="62"/>
      <c r="R15" s="63"/>
      <c r="T15" s="21"/>
      <c r="U15" s="22"/>
      <c r="V15" s="22"/>
      <c r="W15" s="22"/>
      <c r="X15" s="22"/>
      <c r="Y15" s="23"/>
    </row>
    <row r="16" spans="2:50" ht="24.6" customHeight="1" thickBot="1" x14ac:dyDescent="0.25">
      <c r="B16" s="56"/>
      <c r="C16" s="57"/>
      <c r="D16" s="58"/>
      <c r="E16" s="72" t="s">
        <v>26</v>
      </c>
      <c r="F16" s="72"/>
      <c r="G16" s="72"/>
      <c r="H16" s="72"/>
      <c r="I16" s="72"/>
      <c r="J16" s="72"/>
      <c r="K16" s="72"/>
      <c r="L16" s="72"/>
      <c r="M16" s="72"/>
      <c r="N16" s="72"/>
      <c r="O16" s="72"/>
      <c r="P16" s="72"/>
      <c r="Q16" s="72"/>
      <c r="R16" s="73"/>
      <c r="T16" s="89"/>
      <c r="U16" s="64"/>
      <c r="V16" s="64"/>
      <c r="W16" s="64"/>
      <c r="X16" s="64"/>
      <c r="Y16" s="65"/>
    </row>
    <row r="17" spans="2:25" ht="24.6" customHeight="1" x14ac:dyDescent="0.2">
      <c r="B17" s="74" t="s">
        <v>20</v>
      </c>
      <c r="C17" s="75"/>
      <c r="D17" s="76"/>
      <c r="E17" s="46" t="s">
        <v>27</v>
      </c>
      <c r="F17" s="46"/>
      <c r="G17" s="46"/>
      <c r="H17" s="46"/>
      <c r="I17" s="46"/>
      <c r="J17" s="46"/>
      <c r="K17" s="46"/>
      <c r="L17" s="46"/>
      <c r="M17" s="46"/>
      <c r="N17" s="46"/>
      <c r="O17" s="46"/>
      <c r="P17" s="46"/>
      <c r="Q17" s="46"/>
      <c r="R17" s="47"/>
      <c r="T17" s="88"/>
      <c r="U17" s="50"/>
      <c r="V17" s="50"/>
      <c r="W17" s="50"/>
      <c r="X17" s="50"/>
      <c r="Y17" s="51"/>
    </row>
    <row r="18" spans="2:25" ht="24.6" customHeight="1" x14ac:dyDescent="0.2">
      <c r="B18" s="77"/>
      <c r="C18" s="78"/>
      <c r="D18" s="79"/>
      <c r="E18" s="62" t="s">
        <v>28</v>
      </c>
      <c r="F18" s="62"/>
      <c r="G18" s="62"/>
      <c r="H18" s="62"/>
      <c r="I18" s="62"/>
      <c r="J18" s="62"/>
      <c r="K18" s="62"/>
      <c r="L18" s="62"/>
      <c r="M18" s="62"/>
      <c r="N18" s="62"/>
      <c r="O18" s="62"/>
      <c r="P18" s="62"/>
      <c r="Q18" s="62"/>
      <c r="R18" s="63"/>
      <c r="T18" s="21"/>
      <c r="U18" s="22"/>
      <c r="V18" s="22"/>
      <c r="W18" s="22"/>
      <c r="X18" s="22"/>
      <c r="Y18" s="23"/>
    </row>
    <row r="19" spans="2:25" ht="24.6" customHeight="1" x14ac:dyDescent="0.2">
      <c r="B19" s="77"/>
      <c r="C19" s="78"/>
      <c r="D19" s="79"/>
      <c r="E19" s="62" t="s">
        <v>29</v>
      </c>
      <c r="F19" s="62"/>
      <c r="G19" s="62"/>
      <c r="H19" s="62"/>
      <c r="I19" s="62"/>
      <c r="J19" s="62"/>
      <c r="K19" s="62"/>
      <c r="L19" s="62"/>
      <c r="M19" s="62"/>
      <c r="N19" s="62"/>
      <c r="O19" s="62"/>
      <c r="P19" s="62"/>
      <c r="Q19" s="62"/>
      <c r="R19" s="63"/>
      <c r="T19" s="21"/>
      <c r="U19" s="22"/>
      <c r="V19" s="22"/>
      <c r="W19" s="22"/>
      <c r="X19" s="22"/>
      <c r="Y19" s="23"/>
    </row>
    <row r="20" spans="2:25" ht="24.6" customHeight="1" x14ac:dyDescent="0.2">
      <c r="B20" s="77"/>
      <c r="C20" s="78"/>
      <c r="D20" s="79"/>
      <c r="E20" s="62" t="s">
        <v>30</v>
      </c>
      <c r="F20" s="62"/>
      <c r="G20" s="62"/>
      <c r="H20" s="62"/>
      <c r="I20" s="62"/>
      <c r="J20" s="62"/>
      <c r="K20" s="62"/>
      <c r="L20" s="62"/>
      <c r="M20" s="62"/>
      <c r="N20" s="62"/>
      <c r="O20" s="62"/>
      <c r="P20" s="62"/>
      <c r="Q20" s="62"/>
      <c r="R20" s="63"/>
      <c r="T20" s="21"/>
      <c r="U20" s="22"/>
      <c r="V20" s="22"/>
      <c r="W20" s="22"/>
      <c r="X20" s="22"/>
      <c r="Y20" s="23"/>
    </row>
    <row r="21" spans="2:25" ht="24.6" customHeight="1" x14ac:dyDescent="0.2">
      <c r="B21" s="77"/>
      <c r="C21" s="78"/>
      <c r="D21" s="79"/>
      <c r="E21" s="62" t="s">
        <v>31</v>
      </c>
      <c r="F21" s="62"/>
      <c r="G21" s="62"/>
      <c r="H21" s="62"/>
      <c r="I21" s="62"/>
      <c r="J21" s="62"/>
      <c r="K21" s="62"/>
      <c r="L21" s="62"/>
      <c r="M21" s="62"/>
      <c r="N21" s="62"/>
      <c r="O21" s="62"/>
      <c r="P21" s="62"/>
      <c r="Q21" s="62"/>
      <c r="R21" s="63"/>
      <c r="T21" s="21"/>
      <c r="U21" s="22"/>
      <c r="V21" s="22"/>
      <c r="W21" s="22"/>
      <c r="X21" s="22"/>
      <c r="Y21" s="23"/>
    </row>
    <row r="22" spans="2:25" ht="24.6" customHeight="1" thickBot="1" x14ac:dyDescent="0.25">
      <c r="B22" s="80"/>
      <c r="C22" s="81"/>
      <c r="D22" s="82"/>
      <c r="E22" s="48" t="s">
        <v>32</v>
      </c>
      <c r="F22" s="48"/>
      <c r="G22" s="48"/>
      <c r="H22" s="48"/>
      <c r="I22" s="48"/>
      <c r="J22" s="48"/>
      <c r="K22" s="48"/>
      <c r="L22" s="48"/>
      <c r="M22" s="48"/>
      <c r="N22" s="48"/>
      <c r="O22" s="48"/>
      <c r="P22" s="48"/>
      <c r="Q22" s="48"/>
      <c r="R22" s="49"/>
      <c r="T22" s="52"/>
      <c r="U22" s="41"/>
      <c r="V22" s="41"/>
      <c r="W22" s="41"/>
      <c r="X22" s="41"/>
      <c r="Y22" s="42"/>
    </row>
    <row r="23" spans="2:25" ht="24.6" customHeight="1" x14ac:dyDescent="0.2">
      <c r="B23" s="74" t="s">
        <v>21</v>
      </c>
      <c r="C23" s="75"/>
      <c r="D23" s="76"/>
      <c r="E23" s="46" t="s">
        <v>33</v>
      </c>
      <c r="F23" s="46"/>
      <c r="G23" s="46"/>
      <c r="H23" s="46"/>
      <c r="I23" s="46"/>
      <c r="J23" s="46"/>
      <c r="K23" s="46"/>
      <c r="L23" s="46"/>
      <c r="M23" s="46"/>
      <c r="N23" s="46"/>
      <c r="O23" s="46"/>
      <c r="P23" s="46"/>
      <c r="Q23" s="46"/>
      <c r="R23" s="47"/>
      <c r="T23" s="88"/>
      <c r="U23" s="50"/>
      <c r="V23" s="50"/>
      <c r="W23" s="50"/>
      <c r="X23" s="50"/>
      <c r="Y23" s="51"/>
    </row>
    <row r="24" spans="2:25" ht="24.6" customHeight="1" x14ac:dyDescent="0.2">
      <c r="B24" s="77"/>
      <c r="C24" s="78"/>
      <c r="D24" s="79"/>
      <c r="E24" s="62" t="s">
        <v>34</v>
      </c>
      <c r="F24" s="62"/>
      <c r="G24" s="62"/>
      <c r="H24" s="62"/>
      <c r="I24" s="62"/>
      <c r="J24" s="62"/>
      <c r="K24" s="62"/>
      <c r="L24" s="62"/>
      <c r="M24" s="62"/>
      <c r="N24" s="62"/>
      <c r="O24" s="62"/>
      <c r="P24" s="62"/>
      <c r="Q24" s="62"/>
      <c r="R24" s="63"/>
      <c r="T24" s="21"/>
      <c r="U24" s="22"/>
      <c r="V24" s="22"/>
      <c r="W24" s="22"/>
      <c r="X24" s="22"/>
      <c r="Y24" s="23"/>
    </row>
    <row r="25" spans="2:25" ht="24.6" customHeight="1" x14ac:dyDescent="0.2">
      <c r="B25" s="77"/>
      <c r="C25" s="78"/>
      <c r="D25" s="79"/>
      <c r="E25" s="62" t="s">
        <v>35</v>
      </c>
      <c r="F25" s="62"/>
      <c r="G25" s="62"/>
      <c r="H25" s="62"/>
      <c r="I25" s="62"/>
      <c r="J25" s="62"/>
      <c r="K25" s="62"/>
      <c r="L25" s="62"/>
      <c r="M25" s="62"/>
      <c r="N25" s="62"/>
      <c r="O25" s="62"/>
      <c r="P25" s="62"/>
      <c r="Q25" s="62"/>
      <c r="R25" s="63"/>
      <c r="T25" s="21"/>
      <c r="U25" s="22"/>
      <c r="V25" s="22"/>
      <c r="W25" s="22"/>
      <c r="X25" s="22"/>
      <c r="Y25" s="23"/>
    </row>
    <row r="26" spans="2:25" ht="24.6" customHeight="1" x14ac:dyDescent="0.2">
      <c r="B26" s="77"/>
      <c r="C26" s="78"/>
      <c r="D26" s="79"/>
      <c r="E26" s="62" t="s">
        <v>36</v>
      </c>
      <c r="F26" s="62"/>
      <c r="G26" s="62"/>
      <c r="H26" s="62"/>
      <c r="I26" s="62"/>
      <c r="J26" s="62"/>
      <c r="K26" s="62"/>
      <c r="L26" s="62"/>
      <c r="M26" s="62"/>
      <c r="N26" s="62"/>
      <c r="O26" s="62"/>
      <c r="P26" s="62"/>
      <c r="Q26" s="62"/>
      <c r="R26" s="63"/>
      <c r="T26" s="21"/>
      <c r="U26" s="22"/>
      <c r="V26" s="22"/>
      <c r="W26" s="22"/>
      <c r="X26" s="22"/>
      <c r="Y26" s="23"/>
    </row>
    <row r="27" spans="2:25" ht="24.6" customHeight="1" x14ac:dyDescent="0.2">
      <c r="B27" s="77"/>
      <c r="C27" s="78"/>
      <c r="D27" s="79"/>
      <c r="E27" s="62" t="s">
        <v>37</v>
      </c>
      <c r="F27" s="62"/>
      <c r="G27" s="62"/>
      <c r="H27" s="62"/>
      <c r="I27" s="62"/>
      <c r="J27" s="62"/>
      <c r="K27" s="62"/>
      <c r="L27" s="62"/>
      <c r="M27" s="62"/>
      <c r="N27" s="62"/>
      <c r="O27" s="62"/>
      <c r="P27" s="62"/>
      <c r="Q27" s="62"/>
      <c r="R27" s="63"/>
      <c r="T27" s="21"/>
      <c r="U27" s="22"/>
      <c r="V27" s="22"/>
      <c r="W27" s="22"/>
      <c r="X27" s="22"/>
      <c r="Y27" s="23"/>
    </row>
    <row r="28" spans="2:25" ht="24.6" customHeight="1" x14ac:dyDescent="0.2">
      <c r="B28" s="77"/>
      <c r="C28" s="78"/>
      <c r="D28" s="79"/>
      <c r="E28" s="62" t="s">
        <v>38</v>
      </c>
      <c r="F28" s="62"/>
      <c r="G28" s="62"/>
      <c r="H28" s="62"/>
      <c r="I28" s="62"/>
      <c r="J28" s="62"/>
      <c r="K28" s="62"/>
      <c r="L28" s="62"/>
      <c r="M28" s="62"/>
      <c r="N28" s="62"/>
      <c r="O28" s="62"/>
      <c r="P28" s="62"/>
      <c r="Q28" s="62"/>
      <c r="R28" s="63"/>
      <c r="T28" s="21"/>
      <c r="U28" s="22"/>
      <c r="V28" s="22"/>
      <c r="W28" s="22"/>
      <c r="X28" s="22"/>
      <c r="Y28" s="23"/>
    </row>
    <row r="29" spans="2:25" ht="24.6" customHeight="1" x14ac:dyDescent="0.2">
      <c r="B29" s="77"/>
      <c r="C29" s="78"/>
      <c r="D29" s="79"/>
      <c r="E29" s="62" t="s">
        <v>39</v>
      </c>
      <c r="F29" s="62"/>
      <c r="G29" s="62"/>
      <c r="H29" s="62"/>
      <c r="I29" s="62"/>
      <c r="J29" s="62"/>
      <c r="K29" s="62"/>
      <c r="L29" s="62"/>
      <c r="M29" s="62"/>
      <c r="N29" s="62"/>
      <c r="O29" s="62"/>
      <c r="P29" s="62"/>
      <c r="Q29" s="62"/>
      <c r="R29" s="63"/>
      <c r="T29" s="21"/>
      <c r="U29" s="22"/>
      <c r="V29" s="22"/>
      <c r="W29" s="22"/>
      <c r="X29" s="22"/>
      <c r="Y29" s="23"/>
    </row>
    <row r="30" spans="2:25" ht="24.6" customHeight="1" x14ac:dyDescent="0.2">
      <c r="B30" s="77"/>
      <c r="C30" s="78"/>
      <c r="D30" s="79"/>
      <c r="E30" s="62" t="s">
        <v>40</v>
      </c>
      <c r="F30" s="62"/>
      <c r="G30" s="62"/>
      <c r="H30" s="62"/>
      <c r="I30" s="62"/>
      <c r="J30" s="62"/>
      <c r="K30" s="62"/>
      <c r="L30" s="62"/>
      <c r="M30" s="62"/>
      <c r="N30" s="62"/>
      <c r="O30" s="62"/>
      <c r="P30" s="62"/>
      <c r="Q30" s="62"/>
      <c r="R30" s="63"/>
      <c r="T30" s="21"/>
      <c r="U30" s="22"/>
      <c r="V30" s="22"/>
      <c r="W30" s="22"/>
      <c r="X30" s="22"/>
      <c r="Y30" s="23"/>
    </row>
    <row r="31" spans="2:25" ht="24.6" customHeight="1" x14ac:dyDescent="0.2">
      <c r="B31" s="77"/>
      <c r="C31" s="78"/>
      <c r="D31" s="79"/>
      <c r="E31" s="62" t="s">
        <v>41</v>
      </c>
      <c r="F31" s="62"/>
      <c r="G31" s="62"/>
      <c r="H31" s="62"/>
      <c r="I31" s="62"/>
      <c r="J31" s="62"/>
      <c r="K31" s="62"/>
      <c r="L31" s="62"/>
      <c r="M31" s="62"/>
      <c r="N31" s="62"/>
      <c r="O31" s="62"/>
      <c r="P31" s="62"/>
      <c r="Q31" s="62"/>
      <c r="R31" s="63"/>
      <c r="T31" s="21"/>
      <c r="U31" s="22"/>
      <c r="V31" s="22"/>
      <c r="W31" s="22"/>
      <c r="X31" s="22"/>
      <c r="Y31" s="23"/>
    </row>
    <row r="32" spans="2:25" ht="24.6" customHeight="1" x14ac:dyDescent="0.2">
      <c r="B32" s="77"/>
      <c r="C32" s="78"/>
      <c r="D32" s="79"/>
      <c r="E32" s="62" t="s">
        <v>42</v>
      </c>
      <c r="F32" s="62"/>
      <c r="G32" s="62"/>
      <c r="H32" s="62"/>
      <c r="I32" s="62"/>
      <c r="J32" s="62"/>
      <c r="K32" s="62"/>
      <c r="L32" s="62"/>
      <c r="M32" s="62"/>
      <c r="N32" s="62"/>
      <c r="O32" s="62"/>
      <c r="P32" s="62"/>
      <c r="Q32" s="62"/>
      <c r="R32" s="63"/>
      <c r="T32" s="21"/>
      <c r="U32" s="22"/>
      <c r="V32" s="22"/>
      <c r="W32" s="22"/>
      <c r="X32" s="22"/>
      <c r="Y32" s="23"/>
    </row>
    <row r="33" spans="2:25" ht="24.6" customHeight="1" x14ac:dyDescent="0.2">
      <c r="B33" s="77"/>
      <c r="C33" s="78"/>
      <c r="D33" s="79"/>
      <c r="E33" s="62" t="s">
        <v>43</v>
      </c>
      <c r="F33" s="62"/>
      <c r="G33" s="62"/>
      <c r="H33" s="62"/>
      <c r="I33" s="62"/>
      <c r="J33" s="62"/>
      <c r="K33" s="62"/>
      <c r="L33" s="62"/>
      <c r="M33" s="62"/>
      <c r="N33" s="62"/>
      <c r="O33" s="62"/>
      <c r="P33" s="62"/>
      <c r="Q33" s="62"/>
      <c r="R33" s="63"/>
      <c r="T33" s="21"/>
      <c r="U33" s="22"/>
      <c r="V33" s="22"/>
      <c r="W33" s="22"/>
      <c r="X33" s="22"/>
      <c r="Y33" s="23"/>
    </row>
    <row r="34" spans="2:25" ht="24.6" customHeight="1" x14ac:dyDescent="0.2">
      <c r="B34" s="77"/>
      <c r="C34" s="78"/>
      <c r="D34" s="79"/>
      <c r="E34" s="62" t="s">
        <v>44</v>
      </c>
      <c r="F34" s="62"/>
      <c r="G34" s="62"/>
      <c r="H34" s="62"/>
      <c r="I34" s="62"/>
      <c r="J34" s="62"/>
      <c r="K34" s="62"/>
      <c r="L34" s="62"/>
      <c r="M34" s="62"/>
      <c r="N34" s="62"/>
      <c r="O34" s="62"/>
      <c r="P34" s="62"/>
      <c r="Q34" s="62"/>
      <c r="R34" s="63"/>
      <c r="T34" s="21"/>
      <c r="U34" s="22"/>
      <c r="V34" s="22"/>
      <c r="W34" s="22"/>
      <c r="X34" s="22"/>
      <c r="Y34" s="23"/>
    </row>
    <row r="35" spans="2:25" ht="24.6" customHeight="1" x14ac:dyDescent="0.2">
      <c r="B35" s="77"/>
      <c r="C35" s="78"/>
      <c r="D35" s="79"/>
      <c r="E35" s="62" t="s">
        <v>45</v>
      </c>
      <c r="F35" s="62"/>
      <c r="G35" s="62"/>
      <c r="H35" s="62"/>
      <c r="I35" s="62"/>
      <c r="J35" s="62"/>
      <c r="K35" s="62"/>
      <c r="L35" s="62"/>
      <c r="M35" s="62"/>
      <c r="N35" s="62"/>
      <c r="O35" s="62"/>
      <c r="P35" s="62"/>
      <c r="Q35" s="62"/>
      <c r="R35" s="63"/>
      <c r="T35" s="21"/>
      <c r="U35" s="22"/>
      <c r="V35" s="22"/>
      <c r="W35" s="22"/>
      <c r="X35" s="22"/>
      <c r="Y35" s="23"/>
    </row>
    <row r="36" spans="2:25" ht="24.6" customHeight="1" thickBot="1" x14ac:dyDescent="0.25">
      <c r="B36" s="80"/>
      <c r="C36" s="81"/>
      <c r="D36" s="82"/>
      <c r="E36" s="48" t="s">
        <v>46</v>
      </c>
      <c r="F36" s="48"/>
      <c r="G36" s="48"/>
      <c r="H36" s="48"/>
      <c r="I36" s="48"/>
      <c r="J36" s="48"/>
      <c r="K36" s="48"/>
      <c r="L36" s="48"/>
      <c r="M36" s="48"/>
      <c r="N36" s="48"/>
      <c r="O36" s="48"/>
      <c r="P36" s="48"/>
      <c r="Q36" s="48"/>
      <c r="R36" s="49"/>
      <c r="T36" s="52"/>
      <c r="U36" s="41"/>
      <c r="V36" s="41"/>
      <c r="W36" s="41"/>
      <c r="X36" s="41"/>
      <c r="Y36" s="42"/>
    </row>
    <row r="37" spans="2:25" ht="24.6" customHeight="1" x14ac:dyDescent="0.2">
      <c r="B37" s="53" t="s">
        <v>22</v>
      </c>
      <c r="C37" s="54"/>
      <c r="D37" s="55"/>
      <c r="E37" s="46" t="s">
        <v>47</v>
      </c>
      <c r="F37" s="46"/>
      <c r="G37" s="46"/>
      <c r="H37" s="46"/>
      <c r="I37" s="46"/>
      <c r="J37" s="46"/>
      <c r="K37" s="46"/>
      <c r="L37" s="46"/>
      <c r="M37" s="46"/>
      <c r="N37" s="46"/>
      <c r="O37" s="46"/>
      <c r="P37" s="46"/>
      <c r="Q37" s="46"/>
      <c r="R37" s="47"/>
      <c r="T37" s="88"/>
      <c r="U37" s="50"/>
      <c r="V37" s="50"/>
      <c r="W37" s="50"/>
      <c r="X37" s="50"/>
      <c r="Y37" s="51"/>
    </row>
    <row r="38" spans="2:25" ht="24.6" customHeight="1" x14ac:dyDescent="0.2">
      <c r="B38" s="56"/>
      <c r="C38" s="57"/>
      <c r="D38" s="58"/>
      <c r="E38" s="62" t="s">
        <v>48</v>
      </c>
      <c r="F38" s="62"/>
      <c r="G38" s="62"/>
      <c r="H38" s="62"/>
      <c r="I38" s="62"/>
      <c r="J38" s="62"/>
      <c r="K38" s="62"/>
      <c r="L38" s="62"/>
      <c r="M38" s="62"/>
      <c r="N38" s="62"/>
      <c r="O38" s="62"/>
      <c r="P38" s="62"/>
      <c r="Q38" s="62"/>
      <c r="R38" s="63"/>
      <c r="T38" s="21"/>
      <c r="U38" s="22"/>
      <c r="V38" s="22"/>
      <c r="W38" s="22"/>
      <c r="X38" s="22"/>
      <c r="Y38" s="23"/>
    </row>
    <row r="39" spans="2:25" ht="24.6" customHeight="1" x14ac:dyDescent="0.2">
      <c r="B39" s="56"/>
      <c r="C39" s="57"/>
      <c r="D39" s="58"/>
      <c r="E39" s="62" t="s">
        <v>49</v>
      </c>
      <c r="F39" s="62"/>
      <c r="G39" s="62"/>
      <c r="H39" s="62"/>
      <c r="I39" s="62"/>
      <c r="J39" s="62"/>
      <c r="K39" s="62"/>
      <c r="L39" s="62"/>
      <c r="M39" s="62"/>
      <c r="N39" s="62"/>
      <c r="O39" s="62"/>
      <c r="P39" s="62"/>
      <c r="Q39" s="62"/>
      <c r="R39" s="63"/>
      <c r="T39" s="21"/>
      <c r="U39" s="22"/>
      <c r="V39" s="22"/>
      <c r="W39" s="22"/>
      <c r="X39" s="22"/>
      <c r="Y39" s="23"/>
    </row>
    <row r="40" spans="2:25" ht="24.6" customHeight="1" thickBot="1" x14ac:dyDescent="0.25">
      <c r="B40" s="59"/>
      <c r="C40" s="60"/>
      <c r="D40" s="61"/>
      <c r="E40" s="48" t="s">
        <v>50</v>
      </c>
      <c r="F40" s="48"/>
      <c r="G40" s="48"/>
      <c r="H40" s="48"/>
      <c r="I40" s="48"/>
      <c r="J40" s="48"/>
      <c r="K40" s="48"/>
      <c r="L40" s="48"/>
      <c r="M40" s="48"/>
      <c r="N40" s="48"/>
      <c r="O40" s="48"/>
      <c r="P40" s="48"/>
      <c r="Q40" s="48"/>
      <c r="R40" s="49"/>
      <c r="T40" s="52"/>
      <c r="U40" s="41"/>
      <c r="V40" s="41"/>
      <c r="W40" s="41"/>
      <c r="X40" s="41"/>
      <c r="Y40" s="42"/>
    </row>
    <row r="41" spans="2:25" ht="24.6" customHeight="1" x14ac:dyDescent="0.2">
      <c r="B41" s="53" t="s">
        <v>23</v>
      </c>
      <c r="C41" s="54"/>
      <c r="D41" s="55"/>
      <c r="E41" s="46" t="s">
        <v>51</v>
      </c>
      <c r="F41" s="46"/>
      <c r="G41" s="46"/>
      <c r="H41" s="46"/>
      <c r="I41" s="46"/>
      <c r="J41" s="46"/>
      <c r="K41" s="46"/>
      <c r="L41" s="46"/>
      <c r="M41" s="46"/>
      <c r="N41" s="46"/>
      <c r="O41" s="46"/>
      <c r="P41" s="46"/>
      <c r="Q41" s="46"/>
      <c r="R41" s="47"/>
      <c r="T41" s="88"/>
      <c r="U41" s="50"/>
      <c r="V41" s="50"/>
      <c r="W41" s="50"/>
      <c r="X41" s="50"/>
      <c r="Y41" s="51"/>
    </row>
    <row r="42" spans="2:25" ht="24.6" customHeight="1" thickBot="1" x14ac:dyDescent="0.25">
      <c r="B42" s="59"/>
      <c r="C42" s="60"/>
      <c r="D42" s="61"/>
      <c r="E42" s="48" t="s">
        <v>52</v>
      </c>
      <c r="F42" s="48"/>
      <c r="G42" s="48"/>
      <c r="H42" s="48"/>
      <c r="I42" s="48"/>
      <c r="J42" s="48"/>
      <c r="K42" s="48"/>
      <c r="L42" s="48"/>
      <c r="M42" s="48"/>
      <c r="N42" s="48"/>
      <c r="O42" s="48"/>
      <c r="P42" s="48"/>
      <c r="Q42" s="48"/>
      <c r="R42" s="49"/>
      <c r="T42" s="52"/>
      <c r="U42" s="41"/>
      <c r="V42" s="41"/>
      <c r="W42" s="41"/>
      <c r="X42" s="41"/>
      <c r="Y42" s="42"/>
    </row>
    <row r="43" spans="2:25" ht="5.0999999999999996" customHeight="1" x14ac:dyDescent="0.2"/>
    <row r="44" spans="2:25" ht="15" customHeight="1" x14ac:dyDescent="0.2">
      <c r="B44" s="34"/>
      <c r="C44" s="34"/>
      <c r="D44" s="34"/>
      <c r="E44" s="14" t="s">
        <v>0</v>
      </c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3" t="s">
        <v>64</v>
      </c>
      <c r="U44" s="3"/>
      <c r="V44" s="3"/>
      <c r="W44" s="3"/>
      <c r="X44" s="3"/>
      <c r="Y44" s="3"/>
    </row>
    <row r="45" spans="2:25" ht="15" customHeight="1" x14ac:dyDescent="0.2">
      <c r="B45" s="34"/>
      <c r="C45" s="34"/>
      <c r="D45" s="3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3"/>
      <c r="U45" s="3"/>
      <c r="V45" s="3"/>
      <c r="W45" s="3"/>
      <c r="X45" s="3"/>
      <c r="Y45" s="3"/>
    </row>
    <row r="46" spans="2:25" ht="15" customHeight="1" x14ac:dyDescent="0.2">
      <c r="B46" s="34"/>
      <c r="C46" s="34"/>
      <c r="D46" s="34"/>
      <c r="E46" s="4" t="s">
        <v>56</v>
      </c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3"/>
      <c r="U46" s="3"/>
      <c r="V46" s="3"/>
      <c r="W46" s="3"/>
      <c r="X46" s="3"/>
      <c r="Y46" s="3"/>
    </row>
    <row r="47" spans="2:25" ht="15" customHeight="1" x14ac:dyDescent="0.2">
      <c r="B47" s="34"/>
      <c r="C47" s="34"/>
      <c r="D47" s="3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3"/>
      <c r="U47" s="3"/>
      <c r="V47" s="3"/>
      <c r="W47" s="3"/>
      <c r="X47" s="3"/>
      <c r="Y47" s="3"/>
    </row>
    <row r="48" spans="2:25" ht="5.0999999999999996" customHeight="1" thickBot="1" x14ac:dyDescent="0.25"/>
    <row r="49" spans="2:25" ht="15" customHeight="1" x14ac:dyDescent="0.2">
      <c r="B49" s="5" t="s">
        <v>57</v>
      </c>
      <c r="C49" s="6"/>
      <c r="D49" s="7"/>
      <c r="E49" s="144" t="str">
        <f>BÚSQUEDA!B5</f>
        <v>MONITOR DE SIGNOS VITALES</v>
      </c>
      <c r="F49" s="145"/>
      <c r="G49" s="145"/>
      <c r="H49" s="145"/>
      <c r="I49" s="145"/>
      <c r="J49" s="145"/>
      <c r="K49" s="145"/>
      <c r="L49" s="145"/>
      <c r="M49" s="146"/>
      <c r="N49" s="43" t="s">
        <v>60</v>
      </c>
      <c r="O49" s="43"/>
      <c r="P49" s="43"/>
      <c r="Q49" s="43"/>
      <c r="R49" s="43"/>
      <c r="S49" s="44" t="str">
        <f>BÚSQUEDA!B6</f>
        <v>EDAN</v>
      </c>
      <c r="T49" s="44"/>
      <c r="U49" s="44"/>
      <c r="V49" s="44"/>
      <c r="W49" s="44"/>
      <c r="X49" s="44"/>
      <c r="Y49" s="45"/>
    </row>
    <row r="50" spans="2:25" ht="15" customHeight="1" x14ac:dyDescent="0.2">
      <c r="B50" s="8" t="s">
        <v>58</v>
      </c>
      <c r="C50" s="9"/>
      <c r="D50" s="10"/>
      <c r="E50" s="147" t="str">
        <f>BÚSQUEDA!B7</f>
        <v>M50</v>
      </c>
      <c r="F50" s="148"/>
      <c r="G50" s="148"/>
      <c r="H50" s="148"/>
      <c r="I50" s="148"/>
      <c r="J50" s="148"/>
      <c r="K50" s="148"/>
      <c r="L50" s="148"/>
      <c r="M50" s="149"/>
      <c r="N50" s="15" t="s">
        <v>61</v>
      </c>
      <c r="O50" s="15"/>
      <c r="P50" s="15"/>
      <c r="Q50" s="15"/>
      <c r="R50" s="15"/>
      <c r="S50" s="16" t="str">
        <f>BÚSQUEDA!B8</f>
        <v>333123-M14102120037</v>
      </c>
      <c r="T50" s="16"/>
      <c r="U50" s="16"/>
      <c r="V50" s="16"/>
      <c r="W50" s="16"/>
      <c r="X50" s="16"/>
      <c r="Y50" s="17"/>
    </row>
    <row r="51" spans="2:25" ht="15" customHeight="1" thickBot="1" x14ac:dyDescent="0.25">
      <c r="B51" s="11" t="s">
        <v>59</v>
      </c>
      <c r="C51" s="12"/>
      <c r="D51" s="13"/>
      <c r="E51" s="150">
        <f>BÚSQUEDA!B4</f>
        <v>545688</v>
      </c>
      <c r="F51" s="151"/>
      <c r="G51" s="151"/>
      <c r="H51" s="151"/>
      <c r="I51" s="151"/>
      <c r="J51" s="151"/>
      <c r="K51" s="151"/>
      <c r="L51" s="151"/>
      <c r="M51" s="152"/>
      <c r="N51" s="18" t="s">
        <v>62</v>
      </c>
      <c r="O51" s="18"/>
      <c r="P51" s="18"/>
      <c r="Q51" s="18"/>
      <c r="R51" s="18"/>
      <c r="S51" s="19" t="str">
        <f>BÚSQUEDA!B9</f>
        <v>URGENCIAS</v>
      </c>
      <c r="T51" s="19"/>
      <c r="U51" s="19"/>
      <c r="V51" s="19"/>
      <c r="W51" s="19"/>
      <c r="X51" s="19"/>
      <c r="Y51" s="20"/>
    </row>
    <row r="52" spans="2:25" ht="5.0999999999999996" customHeight="1" thickBot="1" x14ac:dyDescent="0.25"/>
    <row r="53" spans="2:25" ht="13.5" thickBot="1" x14ac:dyDescent="0.25">
      <c r="B53" s="24" t="s">
        <v>6</v>
      </c>
      <c r="C53" s="25"/>
      <c r="D53" s="25"/>
      <c r="E53" s="25"/>
      <c r="F53" s="25"/>
      <c r="G53" s="25"/>
      <c r="H53" s="25"/>
      <c r="I53" s="25"/>
      <c r="J53" s="25"/>
      <c r="K53" s="25"/>
      <c r="L53" s="25"/>
      <c r="M53" s="25"/>
      <c r="N53" s="25"/>
      <c r="O53" s="25"/>
      <c r="P53" s="25"/>
      <c r="Q53" s="25"/>
      <c r="R53" s="26"/>
      <c r="T53" s="39" t="s">
        <v>7</v>
      </c>
      <c r="U53" s="40"/>
      <c r="V53" s="40"/>
      <c r="W53" s="40"/>
      <c r="X53" s="40" t="s">
        <v>4</v>
      </c>
      <c r="Y53" s="83"/>
    </row>
    <row r="54" spans="2:25" ht="23.45" customHeight="1" x14ac:dyDescent="0.2">
      <c r="B54" s="27" t="s">
        <v>8</v>
      </c>
      <c r="C54" s="28"/>
      <c r="D54" s="28"/>
      <c r="E54" s="28"/>
      <c r="F54" s="28"/>
      <c r="G54" s="28"/>
      <c r="H54" s="28"/>
      <c r="I54" s="28"/>
      <c r="J54" s="28"/>
      <c r="K54" s="28"/>
      <c r="L54" s="28"/>
      <c r="M54" s="28"/>
      <c r="N54" s="28"/>
      <c r="O54" s="28"/>
      <c r="P54" s="28"/>
      <c r="Q54" s="28"/>
      <c r="R54" s="29"/>
      <c r="T54" s="90"/>
      <c r="U54" s="91"/>
      <c r="V54" s="91"/>
      <c r="W54" s="91"/>
      <c r="X54" s="91"/>
      <c r="Y54" s="92"/>
    </row>
    <row r="55" spans="2:25" ht="23.45" customHeight="1" x14ac:dyDescent="0.2">
      <c r="B55" s="30" t="s">
        <v>9</v>
      </c>
      <c r="C55" s="31"/>
      <c r="D55" s="31"/>
      <c r="E55" s="31"/>
      <c r="F55" s="31"/>
      <c r="G55" s="31"/>
      <c r="H55" s="31"/>
      <c r="I55" s="31"/>
      <c r="J55" s="31"/>
      <c r="K55" s="31"/>
      <c r="L55" s="31"/>
      <c r="M55" s="31"/>
      <c r="N55" s="31"/>
      <c r="O55" s="31"/>
      <c r="P55" s="31"/>
      <c r="Q55" s="31"/>
      <c r="R55" s="32"/>
      <c r="T55" s="33"/>
      <c r="U55" s="34"/>
      <c r="V55" s="34"/>
      <c r="W55" s="34"/>
      <c r="X55" s="34"/>
      <c r="Y55" s="35"/>
    </row>
    <row r="56" spans="2:25" ht="23.45" customHeight="1" x14ac:dyDescent="0.2">
      <c r="B56" s="30" t="s">
        <v>10</v>
      </c>
      <c r="C56" s="31"/>
      <c r="D56" s="31"/>
      <c r="E56" s="31"/>
      <c r="F56" s="31"/>
      <c r="G56" s="31"/>
      <c r="H56" s="31"/>
      <c r="I56" s="31"/>
      <c r="J56" s="31"/>
      <c r="K56" s="31"/>
      <c r="L56" s="31"/>
      <c r="M56" s="31"/>
      <c r="N56" s="31"/>
      <c r="O56" s="31"/>
      <c r="P56" s="31"/>
      <c r="Q56" s="31"/>
      <c r="R56" s="32"/>
      <c r="T56" s="33"/>
      <c r="U56" s="34"/>
      <c r="V56" s="34"/>
      <c r="W56" s="34"/>
      <c r="X56" s="34"/>
      <c r="Y56" s="35"/>
    </row>
    <row r="57" spans="2:25" ht="23.45" customHeight="1" x14ac:dyDescent="0.2">
      <c r="B57" s="30" t="s">
        <v>53</v>
      </c>
      <c r="C57" s="31"/>
      <c r="D57" s="31"/>
      <c r="E57" s="31"/>
      <c r="F57" s="31"/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32"/>
      <c r="T57" s="33"/>
      <c r="U57" s="34"/>
      <c r="V57" s="34"/>
      <c r="W57" s="34"/>
      <c r="X57" s="34"/>
      <c r="Y57" s="35"/>
    </row>
    <row r="58" spans="2:25" ht="23.45" customHeight="1" x14ac:dyDescent="0.2">
      <c r="B58" s="30" t="s">
        <v>54</v>
      </c>
      <c r="C58" s="31"/>
      <c r="D58" s="31"/>
      <c r="E58" s="31"/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2"/>
      <c r="T58" s="33"/>
      <c r="U58" s="34"/>
      <c r="V58" s="34"/>
      <c r="W58" s="34"/>
      <c r="X58" s="34"/>
      <c r="Y58" s="35"/>
    </row>
    <row r="59" spans="2:25" ht="23.45" customHeight="1" x14ac:dyDescent="0.2">
      <c r="B59" s="30" t="s">
        <v>55</v>
      </c>
      <c r="C59" s="31"/>
      <c r="D59" s="31"/>
      <c r="E59" s="31"/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2"/>
      <c r="T59" s="33"/>
      <c r="U59" s="34"/>
      <c r="V59" s="34"/>
      <c r="W59" s="34"/>
      <c r="X59" s="34"/>
      <c r="Y59" s="35"/>
    </row>
    <row r="60" spans="2:25" ht="23.45" customHeight="1" x14ac:dyDescent="0.2">
      <c r="B60" s="30" t="s">
        <v>11</v>
      </c>
      <c r="C60" s="31"/>
      <c r="D60" s="31"/>
      <c r="E60" s="31"/>
      <c r="F60" s="31"/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32"/>
      <c r="T60" s="33"/>
      <c r="U60" s="34"/>
      <c r="V60" s="34"/>
      <c r="W60" s="34"/>
      <c r="X60" s="34"/>
      <c r="Y60" s="35"/>
    </row>
    <row r="61" spans="2:25" ht="23.45" customHeight="1" x14ac:dyDescent="0.2">
      <c r="B61" s="30" t="s">
        <v>12</v>
      </c>
      <c r="C61" s="31"/>
      <c r="D61" s="31"/>
      <c r="E61" s="31"/>
      <c r="F61" s="31"/>
      <c r="G61" s="31"/>
      <c r="H61" s="31"/>
      <c r="I61" s="31"/>
      <c r="J61" s="31"/>
      <c r="K61" s="31"/>
      <c r="L61" s="31"/>
      <c r="M61" s="31"/>
      <c r="N61" s="31"/>
      <c r="O61" s="31"/>
      <c r="P61" s="31"/>
      <c r="Q61" s="31"/>
      <c r="R61" s="32"/>
      <c r="T61" s="33"/>
      <c r="U61" s="34"/>
      <c r="V61" s="34"/>
      <c r="W61" s="34"/>
      <c r="X61" s="34"/>
      <c r="Y61" s="35"/>
    </row>
    <row r="62" spans="2:25" ht="23.45" customHeight="1" thickBot="1" x14ac:dyDescent="0.25">
      <c r="B62" s="93" t="s">
        <v>13</v>
      </c>
      <c r="C62" s="94"/>
      <c r="D62" s="94"/>
      <c r="E62" s="94"/>
      <c r="F62" s="94"/>
      <c r="G62" s="94"/>
      <c r="H62" s="94"/>
      <c r="I62" s="94"/>
      <c r="J62" s="94"/>
      <c r="K62" s="94"/>
      <c r="L62" s="94"/>
      <c r="M62" s="94"/>
      <c r="N62" s="94"/>
      <c r="O62" s="94"/>
      <c r="P62" s="94"/>
      <c r="Q62" s="94"/>
      <c r="R62" s="95"/>
      <c r="T62" s="36"/>
      <c r="U62" s="37"/>
      <c r="V62" s="37"/>
      <c r="W62" s="37"/>
      <c r="X62" s="37"/>
      <c r="Y62" s="38"/>
    </row>
    <row r="63" spans="2:25" ht="8.4499999999999993" customHeight="1" thickBot="1" x14ac:dyDescent="0.25"/>
    <row r="64" spans="2:25" ht="23.45" customHeight="1" thickBot="1" x14ac:dyDescent="0.25">
      <c r="B64" s="96" t="s">
        <v>14</v>
      </c>
      <c r="C64" s="97"/>
      <c r="D64" s="97"/>
      <c r="E64" s="97"/>
      <c r="F64" s="97"/>
      <c r="G64" s="97"/>
      <c r="H64" s="97"/>
      <c r="I64" s="97"/>
      <c r="J64" s="97"/>
      <c r="K64" s="97"/>
      <c r="L64" s="97"/>
      <c r="M64" s="97"/>
      <c r="N64" s="97"/>
      <c r="O64" s="97"/>
      <c r="P64" s="97"/>
      <c r="Q64" s="97"/>
      <c r="R64" s="97"/>
      <c r="S64" s="97"/>
      <c r="T64" s="97"/>
      <c r="U64" s="97"/>
      <c r="V64" s="97"/>
      <c r="W64" s="97"/>
      <c r="X64" s="97"/>
      <c r="Y64" s="98"/>
    </row>
    <row r="65" spans="2:25" ht="23.45" customHeight="1" x14ac:dyDescent="0.2">
      <c r="B65" s="99"/>
      <c r="C65" s="100"/>
      <c r="D65" s="100"/>
      <c r="E65" s="100"/>
      <c r="F65" s="100"/>
      <c r="G65" s="100"/>
      <c r="H65" s="100"/>
      <c r="I65" s="100"/>
      <c r="J65" s="100"/>
      <c r="K65" s="100"/>
      <c r="L65" s="100"/>
      <c r="M65" s="100"/>
      <c r="N65" s="100"/>
      <c r="O65" s="100"/>
      <c r="P65" s="100"/>
      <c r="Q65" s="100"/>
      <c r="R65" s="100"/>
      <c r="S65" s="100"/>
      <c r="T65" s="100"/>
      <c r="U65" s="100"/>
      <c r="V65" s="100"/>
      <c r="W65" s="100"/>
      <c r="X65" s="100"/>
      <c r="Y65" s="101"/>
    </row>
    <row r="66" spans="2:25" ht="23.45" customHeight="1" x14ac:dyDescent="0.2">
      <c r="B66" s="21"/>
      <c r="C66" s="22"/>
      <c r="D66" s="2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3"/>
    </row>
    <row r="67" spans="2:25" ht="23.45" customHeight="1" x14ac:dyDescent="0.2">
      <c r="B67" s="21"/>
      <c r="C67" s="22"/>
      <c r="D67" s="2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3"/>
    </row>
    <row r="68" spans="2:25" ht="23.45" customHeight="1" x14ac:dyDescent="0.2">
      <c r="B68" s="21"/>
      <c r="C68" s="22"/>
      <c r="D68" s="2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3"/>
    </row>
    <row r="69" spans="2:25" ht="23.45" customHeight="1" x14ac:dyDescent="0.2">
      <c r="B69" s="21"/>
      <c r="C69" s="22"/>
      <c r="D69" s="2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3"/>
    </row>
    <row r="70" spans="2:25" ht="23.45" customHeight="1" x14ac:dyDescent="0.2">
      <c r="B70" s="21"/>
      <c r="C70" s="22"/>
      <c r="D70" s="2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3"/>
    </row>
    <row r="71" spans="2:25" ht="23.45" customHeight="1" x14ac:dyDescent="0.2">
      <c r="B71" s="21"/>
      <c r="C71" s="22"/>
      <c r="D71" s="2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3"/>
    </row>
    <row r="72" spans="2:25" ht="23.45" customHeight="1" x14ac:dyDescent="0.2">
      <c r="B72" s="21"/>
      <c r="C72" s="22"/>
      <c r="D72" s="2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3"/>
    </row>
    <row r="73" spans="2:25" ht="23.45" customHeight="1" x14ac:dyDescent="0.2">
      <c r="B73" s="21"/>
      <c r="C73" s="22"/>
      <c r="D73" s="2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3"/>
    </row>
    <row r="74" spans="2:25" ht="23.45" customHeight="1" x14ac:dyDescent="0.2">
      <c r="B74" s="21"/>
      <c r="C74" s="22"/>
      <c r="D74" s="2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3"/>
    </row>
    <row r="75" spans="2:25" ht="23.45" customHeight="1" x14ac:dyDescent="0.2">
      <c r="B75" s="21"/>
      <c r="C75" s="22"/>
      <c r="D75" s="2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3"/>
    </row>
    <row r="76" spans="2:25" ht="23.45" customHeight="1" x14ac:dyDescent="0.2">
      <c r="B76" s="21"/>
      <c r="C76" s="22"/>
      <c r="D76" s="2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3"/>
    </row>
    <row r="77" spans="2:25" ht="23.45" customHeight="1" x14ac:dyDescent="0.2">
      <c r="B77" s="21"/>
      <c r="C77" s="22"/>
      <c r="D77" s="2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3"/>
    </row>
    <row r="78" spans="2:25" ht="23.45" customHeight="1" x14ac:dyDescent="0.2">
      <c r="B78" s="21"/>
      <c r="C78" s="22"/>
      <c r="D78" s="2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3"/>
    </row>
    <row r="79" spans="2:25" ht="23.45" customHeight="1" x14ac:dyDescent="0.2">
      <c r="B79" s="21"/>
      <c r="C79" s="22"/>
      <c r="D79" s="2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3"/>
    </row>
    <row r="80" spans="2:25" ht="23.45" customHeight="1" x14ac:dyDescent="0.2">
      <c r="B80" s="21"/>
      <c r="C80" s="22"/>
      <c r="D80" s="2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3"/>
    </row>
    <row r="81" spans="2:25" ht="23.45" customHeight="1" x14ac:dyDescent="0.2">
      <c r="B81" s="21"/>
      <c r="C81" s="22"/>
      <c r="D81" s="2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3"/>
    </row>
    <row r="82" spans="2:25" ht="23.45" customHeight="1" x14ac:dyDescent="0.2">
      <c r="B82" s="21"/>
      <c r="C82" s="22"/>
      <c r="D82" s="2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3"/>
    </row>
    <row r="83" spans="2:25" ht="23.45" customHeight="1" x14ac:dyDescent="0.2">
      <c r="B83" s="21"/>
      <c r="C83" s="22"/>
      <c r="D83" s="2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3"/>
    </row>
    <row r="84" spans="2:25" ht="23.45" customHeight="1" x14ac:dyDescent="0.2">
      <c r="B84" s="21"/>
      <c r="C84" s="22"/>
      <c r="D84" s="2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3"/>
    </row>
    <row r="85" spans="2:25" ht="5.0999999999999996" customHeight="1" thickBot="1" x14ac:dyDescent="0.25"/>
    <row r="86" spans="2:25" ht="13.5" thickBot="1" x14ac:dyDescent="0.25">
      <c r="B86" s="106" t="s">
        <v>65</v>
      </c>
      <c r="C86" s="107"/>
      <c r="D86" s="107"/>
      <c r="E86" s="107"/>
      <c r="F86" s="107"/>
      <c r="G86" s="107"/>
      <c r="H86" s="107"/>
      <c r="I86" s="107"/>
      <c r="J86" s="107"/>
      <c r="K86" s="107"/>
      <c r="L86" s="107"/>
      <c r="M86" s="107"/>
      <c r="N86" s="107" t="s">
        <v>66</v>
      </c>
      <c r="O86" s="107"/>
      <c r="P86" s="107"/>
      <c r="Q86" s="107"/>
      <c r="R86" s="107"/>
      <c r="S86" s="107"/>
      <c r="T86" s="107"/>
      <c r="U86" s="107"/>
      <c r="V86" s="107"/>
      <c r="W86" s="107"/>
      <c r="X86" s="107"/>
      <c r="Y86" s="108"/>
    </row>
    <row r="87" spans="2:25" x14ac:dyDescent="0.2">
      <c r="B87" s="109"/>
      <c r="C87" s="110"/>
      <c r="D87" s="110"/>
      <c r="E87" s="110"/>
      <c r="F87" s="110"/>
      <c r="G87" s="110"/>
      <c r="H87" s="110"/>
      <c r="I87" s="110"/>
      <c r="J87" s="110"/>
      <c r="K87" s="110"/>
      <c r="L87" s="110"/>
      <c r="M87" s="110"/>
      <c r="N87" s="110"/>
      <c r="O87" s="110"/>
      <c r="P87" s="110"/>
      <c r="Q87" s="110"/>
      <c r="R87" s="110"/>
      <c r="S87" s="110"/>
      <c r="T87" s="110"/>
      <c r="U87" s="110"/>
      <c r="V87" s="110"/>
      <c r="W87" s="110"/>
      <c r="X87" s="110"/>
      <c r="Y87" s="113"/>
    </row>
    <row r="88" spans="2:25" x14ac:dyDescent="0.2">
      <c r="B88" s="111"/>
      <c r="C88" s="16"/>
      <c r="D88" s="16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7"/>
    </row>
    <row r="89" spans="2:25" ht="13.5" thickBot="1" x14ac:dyDescent="0.25">
      <c r="B89" s="112"/>
      <c r="C89" s="19"/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20"/>
    </row>
    <row r="90" spans="2:25" ht="5.0999999999999996" customHeight="1" thickBot="1" x14ac:dyDescent="0.25"/>
    <row r="91" spans="2:25" ht="13.5" thickBot="1" x14ac:dyDescent="0.25">
      <c r="B91" s="96" t="s">
        <v>15</v>
      </c>
      <c r="C91" s="97"/>
      <c r="D91" s="97"/>
      <c r="E91" s="97"/>
      <c r="F91" s="97"/>
      <c r="G91" s="97"/>
      <c r="H91" s="97"/>
      <c r="I91" s="97"/>
      <c r="J91" s="97"/>
      <c r="K91" s="97"/>
      <c r="L91" s="97"/>
      <c r="M91" s="97"/>
      <c r="N91" s="97"/>
      <c r="O91" s="97"/>
      <c r="P91" s="97"/>
      <c r="Q91" s="97"/>
      <c r="R91" s="97"/>
      <c r="S91" s="97"/>
      <c r="T91" s="97"/>
      <c r="U91" s="97"/>
      <c r="V91" s="97"/>
      <c r="W91" s="97"/>
      <c r="X91" s="97"/>
      <c r="Y91" s="98"/>
    </row>
    <row r="92" spans="2:25" ht="13.5" thickBot="1" x14ac:dyDescent="0.25">
      <c r="B92" s="102" t="s">
        <v>2</v>
      </c>
      <c r="C92" s="103"/>
      <c r="D92" s="104" t="s">
        <v>17</v>
      </c>
      <c r="E92" s="104"/>
      <c r="F92" s="104"/>
      <c r="G92" s="104"/>
      <c r="H92" s="104"/>
      <c r="I92" s="104"/>
      <c r="J92" s="103" t="s">
        <v>3</v>
      </c>
      <c r="K92" s="103"/>
      <c r="L92" s="104" t="s">
        <v>16</v>
      </c>
      <c r="M92" s="104"/>
      <c r="N92" s="104"/>
      <c r="O92" s="104"/>
      <c r="P92" s="104"/>
      <c r="Q92" s="104"/>
      <c r="R92" s="103" t="s">
        <v>4</v>
      </c>
      <c r="S92" s="103"/>
      <c r="T92" s="104" t="s">
        <v>18</v>
      </c>
      <c r="U92" s="104"/>
      <c r="V92" s="104"/>
      <c r="W92" s="104"/>
      <c r="X92" s="104"/>
      <c r="Y92" s="105"/>
    </row>
  </sheetData>
  <mergeCells count="221">
    <mergeCell ref="B82:Y82"/>
    <mergeCell ref="B83:Y83"/>
    <mergeCell ref="B84:Y84"/>
    <mergeCell ref="B91:Y91"/>
    <mergeCell ref="B92:C92"/>
    <mergeCell ref="D92:I92"/>
    <mergeCell ref="J92:K92"/>
    <mergeCell ref="L92:Q92"/>
    <mergeCell ref="R92:S92"/>
    <mergeCell ref="T92:Y92"/>
    <mergeCell ref="B86:M86"/>
    <mergeCell ref="N86:Y86"/>
    <mergeCell ref="B87:M89"/>
    <mergeCell ref="N87:Y89"/>
    <mergeCell ref="B80:Y80"/>
    <mergeCell ref="B61:R61"/>
    <mergeCell ref="B62:R62"/>
    <mergeCell ref="B74:Y74"/>
    <mergeCell ref="B75:Y75"/>
    <mergeCell ref="B76:Y76"/>
    <mergeCell ref="B77:Y77"/>
    <mergeCell ref="B78:Y78"/>
    <mergeCell ref="B81:Y81"/>
    <mergeCell ref="B64:Y64"/>
    <mergeCell ref="B65:Y65"/>
    <mergeCell ref="B66:Y66"/>
    <mergeCell ref="B67:Y67"/>
    <mergeCell ref="B68:Y68"/>
    <mergeCell ref="B69:Y69"/>
    <mergeCell ref="X56:Y56"/>
    <mergeCell ref="T58:W58"/>
    <mergeCell ref="X58:Y58"/>
    <mergeCell ref="T59:W59"/>
    <mergeCell ref="X59:Y59"/>
    <mergeCell ref="B70:Y70"/>
    <mergeCell ref="B71:Y71"/>
    <mergeCell ref="B72:Y72"/>
    <mergeCell ref="B79:Y79"/>
    <mergeCell ref="T36:U36"/>
    <mergeCell ref="T37:U37"/>
    <mergeCell ref="V41:W41"/>
    <mergeCell ref="V15:W15"/>
    <mergeCell ref="V24:W24"/>
    <mergeCell ref="T28:U28"/>
    <mergeCell ref="V28:W28"/>
    <mergeCell ref="T32:U32"/>
    <mergeCell ref="V32:W32"/>
    <mergeCell ref="T40:U40"/>
    <mergeCell ref="V40:W40"/>
    <mergeCell ref="V36:W36"/>
    <mergeCell ref="V37:W37"/>
    <mergeCell ref="V38:W38"/>
    <mergeCell ref="T38:U38"/>
    <mergeCell ref="T41:U41"/>
    <mergeCell ref="V16:W16"/>
    <mergeCell ref="T23:U23"/>
    <mergeCell ref="V23:W23"/>
    <mergeCell ref="T17:U17"/>
    <mergeCell ref="V17:W17"/>
    <mergeCell ref="V29:W29"/>
    <mergeCell ref="T10:Y10"/>
    <mergeCell ref="T11:Y11"/>
    <mergeCell ref="V14:W14"/>
    <mergeCell ref="X14:Y14"/>
    <mergeCell ref="T14:U14"/>
    <mergeCell ref="T15:U15"/>
    <mergeCell ref="X15:Y15"/>
    <mergeCell ref="T16:U16"/>
    <mergeCell ref="T35:U35"/>
    <mergeCell ref="B1:D4"/>
    <mergeCell ref="X16:Y16"/>
    <mergeCell ref="V35:W35"/>
    <mergeCell ref="N6:R6"/>
    <mergeCell ref="S6:Y6"/>
    <mergeCell ref="N7:R7"/>
    <mergeCell ref="B10:R13"/>
    <mergeCell ref="E14:R14"/>
    <mergeCell ref="E15:R15"/>
    <mergeCell ref="E16:R16"/>
    <mergeCell ref="B14:D16"/>
    <mergeCell ref="B17:D22"/>
    <mergeCell ref="B23:D36"/>
    <mergeCell ref="E17:R17"/>
    <mergeCell ref="E18:R18"/>
    <mergeCell ref="E19:R19"/>
    <mergeCell ref="S7:Y7"/>
    <mergeCell ref="N8:R8"/>
    <mergeCell ref="S8:Y8"/>
    <mergeCell ref="E34:R34"/>
    <mergeCell ref="E35:R35"/>
    <mergeCell ref="X13:Y13"/>
    <mergeCell ref="T13:U13"/>
    <mergeCell ref="V13:W13"/>
    <mergeCell ref="E36:R36"/>
    <mergeCell ref="E37:R37"/>
    <mergeCell ref="E20:R20"/>
    <mergeCell ref="E21:R21"/>
    <mergeCell ref="E22:R22"/>
    <mergeCell ref="E23:R23"/>
    <mergeCell ref="E24:R24"/>
    <mergeCell ref="E25:R25"/>
    <mergeCell ref="E26:R26"/>
    <mergeCell ref="E27:R27"/>
    <mergeCell ref="E28:R28"/>
    <mergeCell ref="E29:R29"/>
    <mergeCell ref="E30:R30"/>
    <mergeCell ref="E31:R31"/>
    <mergeCell ref="E32:R32"/>
    <mergeCell ref="E33:R33"/>
    <mergeCell ref="T20:U20"/>
    <mergeCell ref="V20:W20"/>
    <mergeCell ref="X20:Y20"/>
    <mergeCell ref="T21:U21"/>
    <mergeCell ref="V21:W21"/>
    <mergeCell ref="X21:Y21"/>
    <mergeCell ref="T22:U22"/>
    <mergeCell ref="V22:W22"/>
    <mergeCell ref="X22:Y22"/>
    <mergeCell ref="T26:U26"/>
    <mergeCell ref="V26:W26"/>
    <mergeCell ref="X26:Y26"/>
    <mergeCell ref="T27:U27"/>
    <mergeCell ref="V27:W27"/>
    <mergeCell ref="X27:Y27"/>
    <mergeCell ref="X28:Y28"/>
    <mergeCell ref="T29:U29"/>
    <mergeCell ref="X17:Y17"/>
    <mergeCell ref="T18:U18"/>
    <mergeCell ref="V18:W18"/>
    <mergeCell ref="X18:Y18"/>
    <mergeCell ref="T19:U19"/>
    <mergeCell ref="V19:W19"/>
    <mergeCell ref="X19:Y19"/>
    <mergeCell ref="X24:Y24"/>
    <mergeCell ref="T25:U25"/>
    <mergeCell ref="V25:W25"/>
    <mergeCell ref="X25:Y25"/>
    <mergeCell ref="X23:Y23"/>
    <mergeCell ref="T24:U24"/>
    <mergeCell ref="T30:U30"/>
    <mergeCell ref="V30:W30"/>
    <mergeCell ref="X30:Y30"/>
    <mergeCell ref="T31:U31"/>
    <mergeCell ref="V31:W31"/>
    <mergeCell ref="X31:Y31"/>
    <mergeCell ref="X32:Y32"/>
    <mergeCell ref="T33:U33"/>
    <mergeCell ref="V33:W33"/>
    <mergeCell ref="X33:Y33"/>
    <mergeCell ref="B73:Y73"/>
    <mergeCell ref="B53:R53"/>
    <mergeCell ref="B54:R54"/>
    <mergeCell ref="B57:R57"/>
    <mergeCell ref="B58:R58"/>
    <mergeCell ref="B59:R59"/>
    <mergeCell ref="B60:R60"/>
    <mergeCell ref="T60:W60"/>
    <mergeCell ref="X60:Y60"/>
    <mergeCell ref="T61:W61"/>
    <mergeCell ref="X61:Y61"/>
    <mergeCell ref="T62:W62"/>
    <mergeCell ref="X62:Y62"/>
    <mergeCell ref="T57:W57"/>
    <mergeCell ref="X57:Y57"/>
    <mergeCell ref="T53:W53"/>
    <mergeCell ref="X53:Y53"/>
    <mergeCell ref="T54:W54"/>
    <mergeCell ref="X54:Y54"/>
    <mergeCell ref="T55:W55"/>
    <mergeCell ref="X55:Y55"/>
    <mergeCell ref="T56:W56"/>
    <mergeCell ref="B55:R55"/>
    <mergeCell ref="B56:R56"/>
    <mergeCell ref="B7:D7"/>
    <mergeCell ref="B6:D6"/>
    <mergeCell ref="T1:Y4"/>
    <mergeCell ref="E1:S2"/>
    <mergeCell ref="E3:S4"/>
    <mergeCell ref="E8:M8"/>
    <mergeCell ref="E7:M7"/>
    <mergeCell ref="E6:M6"/>
    <mergeCell ref="N50:R50"/>
    <mergeCell ref="S50:Y50"/>
    <mergeCell ref="X40:Y40"/>
    <mergeCell ref="B44:D47"/>
    <mergeCell ref="N49:R49"/>
    <mergeCell ref="S49:Y49"/>
    <mergeCell ref="E41:R41"/>
    <mergeCell ref="E42:R42"/>
    <mergeCell ref="X41:Y41"/>
    <mergeCell ref="V42:W42"/>
    <mergeCell ref="X42:Y42"/>
    <mergeCell ref="T42:U42"/>
    <mergeCell ref="B37:D40"/>
    <mergeCell ref="B41:D42"/>
    <mergeCell ref="E38:R38"/>
    <mergeCell ref="E39:R39"/>
    <mergeCell ref="T44:Y47"/>
    <mergeCell ref="E46:S47"/>
    <mergeCell ref="B49:D49"/>
    <mergeCell ref="E49:M49"/>
    <mergeCell ref="B50:D50"/>
    <mergeCell ref="E50:M50"/>
    <mergeCell ref="B51:D51"/>
    <mergeCell ref="E51:M51"/>
    <mergeCell ref="B8:D8"/>
    <mergeCell ref="N51:R51"/>
    <mergeCell ref="S51:Y51"/>
    <mergeCell ref="E40:R40"/>
    <mergeCell ref="E44:S45"/>
    <mergeCell ref="T34:U34"/>
    <mergeCell ref="V34:W34"/>
    <mergeCell ref="X34:Y34"/>
    <mergeCell ref="T39:U39"/>
    <mergeCell ref="V39:W39"/>
    <mergeCell ref="X39:Y39"/>
    <mergeCell ref="X35:Y35"/>
    <mergeCell ref="X36:Y36"/>
    <mergeCell ref="X37:Y37"/>
    <mergeCell ref="X38:Y38"/>
    <mergeCell ref="X29:Y29"/>
  </mergeCells>
  <pageMargins left="0.25" right="0.25" top="0.75" bottom="0.75" header="0.3" footer="0.3"/>
  <pageSetup scale="72" orientation="portrait" r:id="rId1"/>
  <rowBreaks count="1" manualBreakCount="1">
    <brk id="43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BÚSQUEDA</vt:lpstr>
      <vt:lpstr>MONITORES</vt:lpstr>
      <vt:lpstr>FORMATO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BIOMEDICOS2</dc:creator>
  <cp:lastModifiedBy>Victor Hugo Lopez Zapata</cp:lastModifiedBy>
  <cp:lastPrinted>2025-02-03T12:33:38Z</cp:lastPrinted>
  <dcterms:created xsi:type="dcterms:W3CDTF">2025-01-15T18:30:41Z</dcterms:created>
  <dcterms:modified xsi:type="dcterms:W3CDTF">2025-09-15T16:44:16Z</dcterms:modified>
</cp:coreProperties>
</file>