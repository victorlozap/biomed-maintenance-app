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USUARIO\Desktop\FORMATOS PREVENTIVOS HUSJ\"/>
    </mc:Choice>
  </mc:AlternateContent>
  <xr:revisionPtr revIDLastSave="154" documentId="13_ncr:1_{EC5A764C-2A37-4152-9FC5-A95453248C62}" xr6:coauthVersionLast="47" xr6:coauthVersionMax="47" xr10:uidLastSave="{EF99A61C-FDFE-4AE1-8F40-0C5836A4871E}"/>
  <bookViews>
    <workbookView xWindow="-120" yWindow="-120" windowWidth="20730" windowHeight="11040" firstSheet="2" activeTab="2" xr2:uid="{00000000-000D-0000-FFFF-FFFF00000000}"/>
  </bookViews>
  <sheets>
    <sheet name="BÚSQUEDA" sheetId="2" r:id="rId1"/>
    <sheet name="DESFIBRILADORES" sheetId="3" r:id="rId2"/>
    <sheet name="FORMATO" sheetId="1" r:id="rId3"/>
  </sheets>
  <definedNames>
    <definedName name="_xlnm.Print_Area" localSheetId="2">FORMATO!$A$1:$X$96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 a="1"/>
  <c r="B4" i="2"/>
  <c r="B9" i="2" a="1"/>
  <c r="B9" i="2" s="1"/>
  <c r="R8" i="1" s="1"/>
  <c r="R55" i="1" s="1"/>
  <c r="B8" i="2" a="1"/>
  <c r="B8" i="2" s="1"/>
  <c r="R7" i="1" s="1"/>
  <c r="R54" i="1" s="1"/>
  <c r="B7" i="2" a="1"/>
  <c r="B7" i="2" s="1"/>
  <c r="F7" i="1" s="1"/>
  <c r="F54" i="1" s="1"/>
  <c r="B6" i="2" a="1"/>
  <c r="B6" i="2" s="1"/>
  <c r="R6" i="1" s="1"/>
  <c r="R53" i="1" s="1"/>
  <c r="B5" i="2" a="1"/>
  <c r="B5" i="2" s="1"/>
  <c r="F6" i="1" s="1"/>
  <c r="F53" i="1" s="1"/>
  <c r="F8" i="1"/>
  <c r="F55" i="1" s="1"/>
  <c r="D50" i="1" l="1"/>
  <c r="D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<sst xmlns="http://schemas.openxmlformats.org/spreadsheetml/2006/main" count="216" uniqueCount="130">
  <si>
    <t>BUSQUEDA 🔎</t>
  </si>
  <si>
    <t>574111</t>
  </si>
  <si>
    <t>ACTIVO FIJO</t>
  </si>
  <si>
    <t>EQUIPO</t>
  </si>
  <si>
    <t>MARCA</t>
  </si>
  <si>
    <t>MODELO</t>
  </si>
  <si>
    <t>SERIE</t>
  </si>
  <si>
    <t>UBICACIÓN</t>
  </si>
  <si>
    <t>SERVICIO</t>
  </si>
  <si>
    <t>DESFIBRILADOR</t>
  </si>
  <si>
    <t>MINDRAY</t>
  </si>
  <si>
    <t>BENEHEART D3</t>
  </si>
  <si>
    <t>EZ-13059338</t>
  </si>
  <si>
    <t>CUIDADO INTENSIVO ADULTO</t>
  </si>
  <si>
    <t>SPACE LABS</t>
  </si>
  <si>
    <t>MEDIC6</t>
  </si>
  <si>
    <t>BLOQUE QUIRÚRGICO</t>
  </si>
  <si>
    <t>PHILIPS</t>
  </si>
  <si>
    <t>HEARTSTART XL+</t>
  </si>
  <si>
    <t>USN1203239</t>
  </si>
  <si>
    <t>CARDIOLOGÍA</t>
  </si>
  <si>
    <t>EZ-99025115</t>
  </si>
  <si>
    <t>HEMODIÁLISIS</t>
  </si>
  <si>
    <t>EZ-99025116</t>
  </si>
  <si>
    <t>HOSPITALIZACION ADULTOS 5° PISO</t>
  </si>
  <si>
    <t>ZOLL</t>
  </si>
  <si>
    <t>M SERIES</t>
  </si>
  <si>
    <t>T09F113180</t>
  </si>
  <si>
    <t>542003</t>
  </si>
  <si>
    <t>CUIDADO INTERMEDIO ADULTO</t>
  </si>
  <si>
    <t>INVENTARIOS</t>
  </si>
  <si>
    <t>NIHON KOHDEN</t>
  </si>
  <si>
    <t>TEC-5531E</t>
  </si>
  <si>
    <t>03586</t>
  </si>
  <si>
    <t>546062</t>
  </si>
  <si>
    <t>HOSPITALIZACIÓN ADULTOS 4° PISO</t>
  </si>
  <si>
    <t>US21304081</t>
  </si>
  <si>
    <t>545125</t>
  </si>
  <si>
    <t>QUIMIOTERAPIA</t>
  </si>
  <si>
    <t>TEC-5631</t>
  </si>
  <si>
    <t>01738</t>
  </si>
  <si>
    <t>574600</t>
  </si>
  <si>
    <t>CUIDADO INTENSIVO PEDIÁTRICO</t>
  </si>
  <si>
    <t>EL-65026398</t>
  </si>
  <si>
    <t>UNIDAD CRÍTICA OBSTÉTRICA</t>
  </si>
  <si>
    <t>03211</t>
  </si>
  <si>
    <t>545626</t>
  </si>
  <si>
    <t>URGENCIAS</t>
  </si>
  <si>
    <t>USD1203888</t>
  </si>
  <si>
    <t>545108</t>
  </si>
  <si>
    <t>BENEHEART D6</t>
  </si>
  <si>
    <t>D6-53013007</t>
  </si>
  <si>
    <t>549900</t>
  </si>
  <si>
    <t>EL-65026409</t>
  </si>
  <si>
    <t>URGENCIAS PEDIATRÍA</t>
  </si>
  <si>
    <t>HEARTST ART MRx</t>
  </si>
  <si>
    <t>US00580424</t>
  </si>
  <si>
    <t>00415</t>
  </si>
  <si>
    <t>HOSPITALIZACIÓN QUIRÚRGICAS</t>
  </si>
  <si>
    <t>EZ-99025117</t>
  </si>
  <si>
    <t>574109</t>
  </si>
  <si>
    <t xml:space="preserve">HEMATO 2 PISO </t>
  </si>
  <si>
    <t xml:space="preserve">COMEN </t>
  </si>
  <si>
    <t xml:space="preserve">S5 </t>
  </si>
  <si>
    <t>S5230703019</t>
  </si>
  <si>
    <t>572062</t>
  </si>
  <si>
    <t>COMEN</t>
  </si>
  <si>
    <t>S5230703013</t>
  </si>
  <si>
    <t>572061</t>
  </si>
  <si>
    <t>HOSPITALIZACIÓN ADULTOS EXPANSIÓN</t>
  </si>
  <si>
    <t>S5230703032</t>
  </si>
  <si>
    <t>572075</t>
  </si>
  <si>
    <t>S5</t>
  </si>
  <si>
    <t>S5230703024</t>
  </si>
  <si>
    <t xml:space="preserve">DESFIBRILADOR </t>
  </si>
  <si>
    <t>TEC-5631E</t>
  </si>
  <si>
    <t>01778</t>
  </si>
  <si>
    <t>574610</t>
  </si>
  <si>
    <t>GASTROENTEROLOGÍA</t>
  </si>
  <si>
    <t>EMPRESA SOCIAL DEL ESTADO 
HOSPITAL UNIVERSITARIO SAN JORGE DE PEREIRA</t>
  </si>
  <si>
    <r>
      <t xml:space="preserve">CÓDIGO: </t>
    </r>
    <r>
      <rPr>
        <sz val="11"/>
        <color theme="1"/>
        <rFont val="Calibri"/>
        <family val="2"/>
        <scheme val="minor"/>
      </rPr>
      <t>GRF3MAN-FR55</t>
    </r>
    <r>
      <rPr>
        <b/>
        <sz val="11"/>
        <color theme="1"/>
        <rFont val="Calibri"/>
        <family val="2"/>
        <scheme val="minor"/>
      </rPr>
      <t xml:space="preserve">
VERSIÓN: </t>
    </r>
    <r>
      <rPr>
        <sz val="11"/>
        <color theme="1"/>
        <rFont val="Calibri"/>
        <family val="2"/>
        <scheme val="minor"/>
      </rPr>
      <t>4.0</t>
    </r>
    <r>
      <rPr>
        <b/>
        <sz val="11"/>
        <color theme="1"/>
        <rFont val="Calibri"/>
        <family val="2"/>
        <scheme val="minor"/>
      </rPr>
      <t xml:space="preserve">
FECHA: </t>
    </r>
    <r>
      <rPr>
        <sz val="11"/>
        <color theme="1"/>
        <rFont val="Calibri"/>
        <family val="2"/>
        <scheme val="minor"/>
      </rPr>
      <t>03-02-2025</t>
    </r>
    <r>
      <rPr>
        <b/>
        <sz val="11"/>
        <color theme="1"/>
        <rFont val="Calibri"/>
        <family val="2"/>
        <scheme val="minor"/>
      </rPr>
      <t xml:space="preserve">
PÁGINA:</t>
    </r>
    <r>
      <rPr>
        <sz val="11"/>
        <color theme="1"/>
        <rFont val="Calibri"/>
        <family val="2"/>
        <scheme val="minor"/>
      </rPr>
      <t xml:space="preserve"> 1 DE 2</t>
    </r>
  </si>
  <si>
    <t>LISTA DE CHEQUEO MANTENIMIENTO
 PREVENTIVO DE DESFIBRILADOR</t>
  </si>
  <si>
    <t>ACTIVIDADES REALIZADAS</t>
  </si>
  <si>
    <t>FECHA</t>
  </si>
  <si>
    <t>C</t>
  </si>
  <si>
    <t>NC</t>
  </si>
  <si>
    <t>NA</t>
  </si>
  <si>
    <t>Asegúrese de que el equipo se encuentre limpio, sin humedad, sin 
objetos extraños y carcasa y etiquetas en buen estado</t>
  </si>
  <si>
    <t>Revisión de alarmas y configuración (Hora y fecha, limites de alarmas)</t>
  </si>
  <si>
    <t xml:space="preserve">Revisión estado físico de  pulsadores, indicadores, palas , display y swiches </t>
  </si>
  <si>
    <t>Revisión cable de poder, protecciones, fusibles, enchufe y receptáculo</t>
  </si>
  <si>
    <t>Revision general de accesorios  (Cable ECG, sensor y extensión SPO2, manguera y brazalete PNI, capnografia, palas)</t>
  </si>
  <si>
    <t>Revisión del piloto de conexión de AC y carga de báteria</t>
  </si>
  <si>
    <t>Revisión  impresora</t>
  </si>
  <si>
    <t>Realización del test</t>
  </si>
  <si>
    <t>Revisión del modo sincronico</t>
  </si>
  <si>
    <t>Revisión del modo DEA</t>
  </si>
  <si>
    <t>Revisión marcpasos</t>
  </si>
  <si>
    <t>Revision de la bateria, estado fisico, bornes, test  y cambio de ser necesario</t>
  </si>
  <si>
    <t>Limpieza general</t>
  </si>
  <si>
    <t>Pruebas de funcionamiento general</t>
  </si>
  <si>
    <t>PRUEBAS DE ENERGIA CON CONEXIÓN AC</t>
  </si>
  <si>
    <t>VALOR</t>
  </si>
  <si>
    <r>
      <t>50 J (</t>
    </r>
    <r>
      <rPr>
        <sz val="11"/>
        <color theme="1"/>
        <rFont val="Calibri"/>
        <family val="2"/>
      </rPr>
      <t>±5J)</t>
    </r>
  </si>
  <si>
    <t>100 J (±5J)</t>
  </si>
  <si>
    <t>200 J (±5J)</t>
  </si>
  <si>
    <t>PRUEBA DE ENERGIA CON BATERIA</t>
  </si>
  <si>
    <t>LECTURA DE BPM</t>
  </si>
  <si>
    <t>SEGURIDAD ELECTRICA</t>
  </si>
  <si>
    <t>Red eléctrica L1-L2</t>
  </si>
  <si>
    <t>Red eléctrica L1-gnd</t>
  </si>
  <si>
    <t>Red eléctrica L2-gnd</t>
  </si>
  <si>
    <t>Resistencia cable de poder EBP (≤ 0,2 Ω)</t>
  </si>
  <si>
    <r>
      <t xml:space="preserve">CÓDIGO: </t>
    </r>
    <r>
      <rPr>
        <sz val="11"/>
        <color theme="1"/>
        <rFont val="Calibri"/>
        <family val="2"/>
        <scheme val="minor"/>
      </rPr>
      <t>GRF3MAN-FR55</t>
    </r>
    <r>
      <rPr>
        <b/>
        <sz val="11"/>
        <color theme="1"/>
        <rFont val="Calibri"/>
        <family val="2"/>
        <scheme val="minor"/>
      </rPr>
      <t xml:space="preserve">
VERSIÓN: </t>
    </r>
    <r>
      <rPr>
        <sz val="11"/>
        <color theme="1"/>
        <rFont val="Calibri"/>
        <family val="2"/>
        <scheme val="minor"/>
      </rPr>
      <t>4.0</t>
    </r>
    <r>
      <rPr>
        <b/>
        <sz val="11"/>
        <color theme="1"/>
        <rFont val="Calibri"/>
        <family val="2"/>
        <scheme val="minor"/>
      </rPr>
      <t xml:space="preserve">
FECHA: </t>
    </r>
    <r>
      <rPr>
        <sz val="11"/>
        <color theme="1"/>
        <rFont val="Calibri"/>
        <family val="2"/>
        <scheme val="minor"/>
      </rPr>
      <t>03-02-2025</t>
    </r>
    <r>
      <rPr>
        <b/>
        <sz val="11"/>
        <color theme="1"/>
        <rFont val="Calibri"/>
        <family val="2"/>
        <scheme val="minor"/>
      </rPr>
      <t xml:space="preserve">
PÁGINA:</t>
    </r>
    <r>
      <rPr>
        <sz val="11"/>
        <color theme="1"/>
        <rFont val="Calibri"/>
        <family val="2"/>
        <scheme val="minor"/>
      </rPr>
      <t xml:space="preserve"> 2 DE 2</t>
    </r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</si>
  <si>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</si>
  <si>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</si>
  <si>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</si>
  <si>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</si>
  <si>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</si>
  <si>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</si>
  <si>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REALIZADO POR</t>
  </si>
  <si>
    <t>RECIBIDO POR</t>
  </si>
  <si>
    <t>TABLA DE CONVENCIONES</t>
  </si>
  <si>
    <t>CUMPLE</t>
  </si>
  <si>
    <t>NO CUMPLE</t>
  </si>
  <si>
    <t>NO APLICA</t>
  </si>
  <si>
    <t>AC</t>
  </si>
  <si>
    <t>CORRIENTE ALTERNA</t>
  </si>
  <si>
    <t>BPM</t>
  </si>
  <si>
    <t>LATIDOS POR MINUTO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</si>
</sst>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color rgb="FF054F5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5C7A1"/>
        <bgColor rgb="FF75C7A1"/>
      </patternFill>
    </fill>
    <fill>
      <patternFill patternType="solid">
        <fgColor rgb="FFF4CCCC"/>
        <bgColor rgb="FFF4CCCC"/>
      </patternFill>
    </fill>
    <fill>
      <patternFill patternType="solid">
        <fgColor rgb="FFFBE5D6"/>
        <bgColor rgb="FFFBE5D6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6" fillId="0" borderId="31" xfId="0" applyFont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49" fontId="6" fillId="5" borderId="31" xfId="0" applyNumberFormat="1" applyFont="1" applyFill="1" applyBorder="1" applyAlignment="1">
      <alignment horizontal="center" vertical="center" wrapText="1"/>
    </xf>
    <xf numFmtId="49" fontId="7" fillId="5" borderId="31" xfId="0" applyNumberFormat="1" applyFont="1" applyFill="1" applyBorder="1" applyAlignment="1">
      <alignment horizontal="center" vertical="center" wrapText="1"/>
    </xf>
    <xf numFmtId="1" fontId="7" fillId="0" borderId="31" xfId="0" applyNumberFormat="1" applyFont="1" applyBorder="1" applyAlignment="1">
      <alignment horizontal="center" vertical="center" wrapText="1"/>
    </xf>
    <xf numFmtId="49" fontId="7" fillId="6" borderId="31" xfId="0" applyNumberFormat="1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49" fontId="4" fillId="4" borderId="36" xfId="0" applyNumberFormat="1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49" fontId="7" fillId="0" borderId="39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5" xfId="0" applyBorder="1" applyAlignment="1"/>
    <xf numFmtId="0" fontId="0" fillId="0" borderId="1" xfId="0" applyBorder="1" applyAlignment="1"/>
    <xf numFmtId="0" fontId="0" fillId="0" borderId="6" xfId="0" applyBorder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54F5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fill>
        <patternFill patternType="solid">
          <fgColor rgb="FF75C7A1"/>
          <bgColor rgb="FF75C7A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57271</xdr:colOff>
      <xdr:row>0</xdr:row>
      <xdr:rowOff>97054</xdr:rowOff>
    </xdr:from>
    <xdr:to>
      <xdr:col>2</xdr:col>
      <xdr:colOff>232558</xdr:colOff>
      <xdr:row>3</xdr:row>
      <xdr:rowOff>156629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71" y="97054"/>
          <a:ext cx="713169" cy="631075"/>
        </a:xfrm>
        <a:prstGeom prst="rect">
          <a:avLst/>
        </a:prstGeom>
      </xdr:spPr>
    </xdr:pic>
    <xdr:clientData/>
  </xdr:twoCellAnchor>
  <xdr:oneCellAnchor>
    <xdr:from>
      <xdr:col>0</xdr:col>
      <xdr:colOff>113301</xdr:colOff>
      <xdr:row>47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01" y="8927289"/>
          <a:ext cx="670587" cy="631075"/>
        </a:xfrm>
        <a:prstGeom prst="rect">
          <a:avLst/>
        </a:prstGeom>
      </xdr:spPr>
    </xdr:pic>
    <xdr:clientData/>
  </xdr:oneCellAnchor>
  <xdr:twoCellAnchor editAs="oneCell">
    <xdr:from>
      <xdr:col>18</xdr:col>
      <xdr:colOff>219075</xdr:colOff>
      <xdr:row>14</xdr:row>
      <xdr:rowOff>19050</xdr:rowOff>
    </xdr:from>
    <xdr:to>
      <xdr:col>18</xdr:col>
      <xdr:colOff>219075</xdr:colOff>
      <xdr:row>14</xdr:row>
      <xdr:rowOff>19050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">
              <a:extLst>
                <a:ext uri="{FF2B5EF4-FFF2-40B4-BE49-F238E27FC236}">
                  <a16:creationId xmlns:a16="http://schemas.microsoft.com/office/drawing/2014/main" id="{66DF0E42-100B-44A9-9952-4BFD733B42D4}"/>
                </a:ext>
                <a:ext uri="{147F2762-F138-4A5C-976F-8EAC2B608ADB}">
                  <a16:predDERef xmlns:a16="http://schemas.microsoft.com/office/drawing/2014/main" pred="{7A31EE0B-7CB7-4A54-A642-B82B583072E8}"/>
                </a:ext>
              </a:extLst>
            </xdr14:cNvPr>
            <xdr14:cNvContentPartPr/>
          </xdr14:nvContentPartPr>
          <xdr14:nvPr macro=""/>
          <xdr14:xfrm>
            <a:off x="4676775" y="2514600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66DF0E42-100B-44A9-9952-4BFD733B42D4}"/>
                </a:ext>
                <a:ext uri="{147F2762-F138-4A5C-976F-8EAC2B608ADB}">
                  <a16:predDERef xmlns:a16="http://schemas.microsoft.com/office/drawing/2014/main" pred="{7A31EE0B-7CB7-4A54-A642-B82B583072E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76775" y="251460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9T18:20:33.31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13003 6986 16383 0 0,'0'0'0'0'0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9B6AC-45AC-458B-B2C9-CDABFBCDE075}" name="Desfibriladores" displayName="Desfibriladores" ref="A1:F24" totalsRowShown="0" headerRowDxfId="9" headerRowBorderDxfId="7" tableBorderDxfId="8" totalsRowBorderDxfId="6">
  <autoFilter ref="A1:F24" xr:uid="{8019B6AC-45AC-458B-B2C9-CDABFBCDE075}"/>
  <tableColumns count="6">
    <tableColumn id="1" xr3:uid="{0E772AF0-1CCE-4DD2-AC16-F4F695F168DD}" name="EQUIPO" dataDxfId="5"/>
    <tableColumn id="2" xr3:uid="{A21765AF-4B33-48AC-9AA0-F5DED46E92E4}" name="MARCA" dataDxfId="4"/>
    <tableColumn id="3" xr3:uid="{EAABCA5D-9E93-4A7C-A81C-FCC0D3622BA5}" name="MODELO" dataDxfId="3"/>
    <tableColumn id="4" xr3:uid="{48B413E0-974E-42CE-AAF2-F23ADE93E1CE}" name="SERIE" dataDxfId="2"/>
    <tableColumn id="5" xr3:uid="{106C585E-0BA6-4F3F-8AC5-4CF8894BD0A6}" name="ACTIVO FIJO" dataDxfId="1"/>
    <tableColumn id="6" xr3:uid="{30348B43-FB63-4C15-B343-6258E0DB23DC}" name="SERVIC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9E4D-BF7C-494A-BE18-D22DA86EABFE}">
  <dimension ref="A2:B9"/>
  <sheetViews>
    <sheetView workbookViewId="0">
      <selection activeCell="B3" sqref="B3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2" ht="26.25">
      <c r="A2" s="4" t="s">
        <v>0</v>
      </c>
      <c r="B2" s="30" t="s">
        <v>1</v>
      </c>
    </row>
    <row r="4" spans="1:2">
      <c r="A4" s="5" t="s">
        <v>2</v>
      </c>
      <c r="B4" s="3" t="str" cm="1">
        <f t="array" ref="B4">IFERROR(_xlfn.XLOOKUP(TRIM(B2&amp;""), TRIM(Desfibriladores[ACTIVO FIJO]&amp;""), Desfibriladores[ACTIVO FIJO]),"")</f>
        <v>574111</v>
      </c>
    </row>
    <row r="5" spans="1:2">
      <c r="A5" s="5" t="s">
        <v>3</v>
      </c>
      <c r="B5" s="3" t="str" cm="1">
        <f t="array" ref="B5">IFERROR(_xlfn.XLOOKUP(TRIM(B2&amp;""), TRIM(Desfibriladores[ACTIVO FIJO]&amp;""), Desfibriladores[EQUIPO]),"")</f>
        <v>DESFIBRILADOR</v>
      </c>
    </row>
    <row r="6" spans="1:2">
      <c r="A6" s="5" t="s">
        <v>4</v>
      </c>
      <c r="B6" s="6" t="str" cm="1">
        <f t="array" ref="B6">IFERROR(_xlfn.XLOOKUP(TRIM(B2&amp;""), TRIM(Desfibriladores[ACTIVO FIJO]&amp;""), Desfibriladores[MARCA]),"")</f>
        <v>MINDRAY</v>
      </c>
    </row>
    <row r="7" spans="1:2">
      <c r="A7" s="5" t="s">
        <v>5</v>
      </c>
      <c r="B7" s="6" t="str" cm="1">
        <f t="array" ref="B7">IFERROR(_xlfn.XLOOKUP(TRIM(B2&amp;""), TRIM(Desfibriladores[ACTIVO FIJO]&amp;""), Desfibriladores[MODELO]),"")</f>
        <v>BENEHEART D3</v>
      </c>
    </row>
    <row r="8" spans="1:2">
      <c r="A8" s="5" t="s">
        <v>6</v>
      </c>
      <c r="B8" s="6" t="str" cm="1">
        <f t="array" ref="B8">IFERROR(_xlfn.XLOOKUP(TRIM(B2&amp;""), TRIM(Desfibriladores[ACTIVO FIJO]&amp;""), Desfibriladores[SERIE]),"")</f>
        <v>EZ-99025116</v>
      </c>
    </row>
    <row r="9" spans="1:2">
      <c r="A9" s="5" t="s">
        <v>7</v>
      </c>
      <c r="B9" s="6" t="str" cm="1">
        <f t="array" ref="B9">IFERROR(_xlfn.XLOOKUP(TRIM(B2&amp;""), TRIM(Desfibriladores[ACTIVO FIJO]&amp;""), Desfibriladores[SERVICIO]),"")</f>
        <v>HOSPITALIZACION ADULTOS 5° PISO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3B95-B65E-4F0A-8CA0-72E7DF7FD701}">
  <dimension ref="A1:F24"/>
  <sheetViews>
    <sheetView topLeftCell="A7" workbookViewId="0">
      <selection activeCell="E9" sqref="E9"/>
    </sheetView>
  </sheetViews>
  <sheetFormatPr defaultColWidth="11.42578125" defaultRowHeight="15"/>
  <cols>
    <col min="1" max="1" width="22.7109375" customWidth="1"/>
    <col min="2" max="2" width="25.140625" customWidth="1"/>
    <col min="3" max="3" width="19" customWidth="1"/>
    <col min="4" max="4" width="24.7109375" customWidth="1"/>
    <col min="5" max="5" width="19.28515625" customWidth="1"/>
    <col min="6" max="6" width="20.7109375" customWidth="1"/>
  </cols>
  <sheetData>
    <row r="1" spans="1:6" ht="15.75" thickBot="1">
      <c r="A1" s="21" t="s">
        <v>3</v>
      </c>
      <c r="B1" s="22" t="s">
        <v>4</v>
      </c>
      <c r="C1" s="22" t="s">
        <v>5</v>
      </c>
      <c r="D1" s="23" t="s">
        <v>6</v>
      </c>
      <c r="E1" s="23" t="s">
        <v>2</v>
      </c>
      <c r="F1" s="24" t="s">
        <v>8</v>
      </c>
    </row>
    <row r="2" spans="1:6" ht="25.5">
      <c r="A2" s="16" t="s">
        <v>9</v>
      </c>
      <c r="B2" s="7" t="s">
        <v>10</v>
      </c>
      <c r="C2" s="7" t="s">
        <v>11</v>
      </c>
      <c r="D2" s="8" t="s">
        <v>12</v>
      </c>
      <c r="E2" s="9">
        <v>572919</v>
      </c>
      <c r="F2" s="19" t="s">
        <v>13</v>
      </c>
    </row>
    <row r="3" spans="1:6" ht="25.5">
      <c r="A3" s="17" t="s">
        <v>9</v>
      </c>
      <c r="B3" s="10" t="s">
        <v>14</v>
      </c>
      <c r="C3" s="10" t="s">
        <v>15</v>
      </c>
      <c r="D3" s="11">
        <v>3128</v>
      </c>
      <c r="E3" s="12">
        <v>540947</v>
      </c>
      <c r="F3" s="20" t="s">
        <v>16</v>
      </c>
    </row>
    <row r="4" spans="1:6" ht="25.5">
      <c r="A4" s="16" t="s">
        <v>9</v>
      </c>
      <c r="B4" s="7" t="s">
        <v>17</v>
      </c>
      <c r="C4" s="7" t="s">
        <v>18</v>
      </c>
      <c r="D4" s="8" t="s">
        <v>19</v>
      </c>
      <c r="E4" s="9">
        <v>545616</v>
      </c>
      <c r="F4" s="19" t="s">
        <v>20</v>
      </c>
    </row>
    <row r="5" spans="1:6" ht="25.5">
      <c r="A5" s="16" t="s">
        <v>9</v>
      </c>
      <c r="B5" s="7" t="s">
        <v>10</v>
      </c>
      <c r="C5" s="7" t="s">
        <v>11</v>
      </c>
      <c r="D5" s="8" t="s">
        <v>21</v>
      </c>
      <c r="E5" s="13">
        <v>574108</v>
      </c>
      <c r="F5" s="19" t="s">
        <v>22</v>
      </c>
    </row>
    <row r="6" spans="1:6" ht="51">
      <c r="A6" s="16" t="s">
        <v>9</v>
      </c>
      <c r="B6" s="7" t="s">
        <v>10</v>
      </c>
      <c r="C6" s="7" t="s">
        <v>11</v>
      </c>
      <c r="D6" s="8" t="s">
        <v>23</v>
      </c>
      <c r="E6" s="9" t="s">
        <v>1</v>
      </c>
      <c r="F6" s="19" t="s">
        <v>24</v>
      </c>
    </row>
    <row r="7" spans="1:6" ht="38.25">
      <c r="A7" s="17" t="s">
        <v>9</v>
      </c>
      <c r="B7" s="10" t="s">
        <v>25</v>
      </c>
      <c r="C7" s="10" t="s">
        <v>26</v>
      </c>
      <c r="D7" s="11" t="s">
        <v>27</v>
      </c>
      <c r="E7" s="12" t="s">
        <v>28</v>
      </c>
      <c r="F7" s="20" t="s">
        <v>29</v>
      </c>
    </row>
    <row r="8" spans="1:6" ht="25.5">
      <c r="A8" s="17" t="s">
        <v>9</v>
      </c>
      <c r="B8" s="10" t="s">
        <v>14</v>
      </c>
      <c r="C8" s="10" t="s">
        <v>15</v>
      </c>
      <c r="D8" s="11">
        <v>3192</v>
      </c>
      <c r="E8" s="12">
        <v>518599</v>
      </c>
      <c r="F8" s="20" t="s">
        <v>30</v>
      </c>
    </row>
    <row r="9" spans="1:6" ht="51">
      <c r="A9" s="16" t="s">
        <v>9</v>
      </c>
      <c r="B9" s="7" t="s">
        <v>31</v>
      </c>
      <c r="C9" s="7" t="s">
        <v>32</v>
      </c>
      <c r="D9" s="8" t="s">
        <v>33</v>
      </c>
      <c r="E9" s="9" t="s">
        <v>34</v>
      </c>
      <c r="F9" s="19" t="s">
        <v>35</v>
      </c>
    </row>
    <row r="10" spans="1:6" ht="25.5">
      <c r="A10" s="16" t="s">
        <v>9</v>
      </c>
      <c r="B10" s="7" t="s">
        <v>17</v>
      </c>
      <c r="C10" s="7" t="s">
        <v>18</v>
      </c>
      <c r="D10" s="8" t="s">
        <v>36</v>
      </c>
      <c r="E10" s="9" t="s">
        <v>37</v>
      </c>
      <c r="F10" s="19" t="s">
        <v>38</v>
      </c>
    </row>
    <row r="11" spans="1:6" ht="38.25">
      <c r="A11" s="16" t="s">
        <v>9</v>
      </c>
      <c r="B11" s="7" t="s">
        <v>31</v>
      </c>
      <c r="C11" s="7" t="s">
        <v>39</v>
      </c>
      <c r="D11" s="8" t="s">
        <v>40</v>
      </c>
      <c r="E11" s="14" t="s">
        <v>41</v>
      </c>
      <c r="F11" s="19" t="s">
        <v>42</v>
      </c>
    </row>
    <row r="12" spans="1:6" ht="38.25">
      <c r="A12" s="18" t="s">
        <v>9</v>
      </c>
      <c r="B12" s="7" t="s">
        <v>10</v>
      </c>
      <c r="C12" s="7" t="s">
        <v>11</v>
      </c>
      <c r="D12" s="8" t="s">
        <v>43</v>
      </c>
      <c r="E12" s="9">
        <v>549363</v>
      </c>
      <c r="F12" s="19" t="s">
        <v>44</v>
      </c>
    </row>
    <row r="13" spans="1:6" ht="25.5">
      <c r="A13" s="17" t="s">
        <v>9</v>
      </c>
      <c r="B13" s="10" t="s">
        <v>31</v>
      </c>
      <c r="C13" s="10" t="s">
        <v>32</v>
      </c>
      <c r="D13" s="11" t="s">
        <v>45</v>
      </c>
      <c r="E13" s="12" t="s">
        <v>46</v>
      </c>
      <c r="F13" s="20" t="s">
        <v>47</v>
      </c>
    </row>
    <row r="14" spans="1:6" ht="25.5">
      <c r="A14" s="16" t="s">
        <v>9</v>
      </c>
      <c r="B14" s="7" t="s">
        <v>17</v>
      </c>
      <c r="C14" s="7" t="s">
        <v>18</v>
      </c>
      <c r="D14" s="8" t="s">
        <v>48</v>
      </c>
      <c r="E14" s="9" t="s">
        <v>49</v>
      </c>
      <c r="F14" s="19" t="s">
        <v>47</v>
      </c>
    </row>
    <row r="15" spans="1:6" ht="25.5">
      <c r="A15" s="16" t="s">
        <v>9</v>
      </c>
      <c r="B15" s="7" t="s">
        <v>10</v>
      </c>
      <c r="C15" s="7" t="s">
        <v>50</v>
      </c>
      <c r="D15" s="8" t="s">
        <v>51</v>
      </c>
      <c r="E15" s="9" t="s">
        <v>52</v>
      </c>
      <c r="F15" s="19" t="s">
        <v>47</v>
      </c>
    </row>
    <row r="16" spans="1:6" ht="25.5">
      <c r="A16" s="16" t="s">
        <v>9</v>
      </c>
      <c r="B16" s="7" t="s">
        <v>10</v>
      </c>
      <c r="C16" s="7" t="s">
        <v>11</v>
      </c>
      <c r="D16" s="8" t="s">
        <v>53</v>
      </c>
      <c r="E16" s="9">
        <v>549364</v>
      </c>
      <c r="F16" s="19" t="s">
        <v>54</v>
      </c>
    </row>
    <row r="17" spans="1:6" ht="25.5">
      <c r="A17" s="16" t="s">
        <v>9</v>
      </c>
      <c r="B17" s="7" t="s">
        <v>17</v>
      </c>
      <c r="C17" s="7" t="s">
        <v>55</v>
      </c>
      <c r="D17" s="8" t="s">
        <v>56</v>
      </c>
      <c r="E17" s="9">
        <v>549353</v>
      </c>
      <c r="F17" s="19" t="s">
        <v>16</v>
      </c>
    </row>
    <row r="18" spans="1:6" ht="51">
      <c r="A18" s="18" t="s">
        <v>9</v>
      </c>
      <c r="B18" s="7" t="s">
        <v>31</v>
      </c>
      <c r="C18" s="7" t="s">
        <v>39</v>
      </c>
      <c r="D18" s="8" t="s">
        <v>57</v>
      </c>
      <c r="E18" s="9">
        <v>549366</v>
      </c>
      <c r="F18" s="19" t="s">
        <v>58</v>
      </c>
    </row>
    <row r="19" spans="1:6" ht="25.5">
      <c r="A19" s="18" t="s">
        <v>9</v>
      </c>
      <c r="B19" s="7" t="s">
        <v>10</v>
      </c>
      <c r="C19" s="7" t="s">
        <v>11</v>
      </c>
      <c r="D19" s="8" t="s">
        <v>59</v>
      </c>
      <c r="E19" s="9" t="s">
        <v>60</v>
      </c>
      <c r="F19" s="19" t="s">
        <v>61</v>
      </c>
    </row>
    <row r="20" spans="1:6" ht="30">
      <c r="A20" s="16" t="s">
        <v>9</v>
      </c>
      <c r="B20" s="7" t="s">
        <v>62</v>
      </c>
      <c r="C20" s="7" t="s">
        <v>63</v>
      </c>
      <c r="D20" s="15" t="s">
        <v>64</v>
      </c>
      <c r="E20" s="9" t="s">
        <v>65</v>
      </c>
      <c r="F20" s="19" t="s">
        <v>16</v>
      </c>
    </row>
    <row r="21" spans="1:6" ht="51">
      <c r="A21" s="18" t="s">
        <v>9</v>
      </c>
      <c r="B21" s="7" t="s">
        <v>66</v>
      </c>
      <c r="C21" s="7" t="s">
        <v>63</v>
      </c>
      <c r="D21" s="15" t="s">
        <v>67</v>
      </c>
      <c r="E21" s="9" t="s">
        <v>68</v>
      </c>
      <c r="F21" s="19" t="s">
        <v>69</v>
      </c>
    </row>
    <row r="22" spans="1:6" ht="38.25">
      <c r="A22" s="16" t="s">
        <v>9</v>
      </c>
      <c r="B22" s="7" t="s">
        <v>66</v>
      </c>
      <c r="C22" s="7" t="s">
        <v>63</v>
      </c>
      <c r="D22" s="15" t="s">
        <v>70</v>
      </c>
      <c r="E22" s="9" t="s">
        <v>71</v>
      </c>
      <c r="F22" s="19" t="s">
        <v>29</v>
      </c>
    </row>
    <row r="23" spans="1:6" ht="38.25">
      <c r="A23" s="18" t="s">
        <v>9</v>
      </c>
      <c r="B23" s="7" t="s">
        <v>66</v>
      </c>
      <c r="C23" s="7" t="s">
        <v>72</v>
      </c>
      <c r="D23" s="15" t="s">
        <v>73</v>
      </c>
      <c r="E23" s="9">
        <v>572076</v>
      </c>
      <c r="F23" s="19" t="s">
        <v>13</v>
      </c>
    </row>
    <row r="24" spans="1:6" ht="25.5">
      <c r="A24" s="25" t="s">
        <v>74</v>
      </c>
      <c r="B24" s="26" t="s">
        <v>31</v>
      </c>
      <c r="C24" s="26" t="s">
        <v>75</v>
      </c>
      <c r="D24" s="27" t="s">
        <v>76</v>
      </c>
      <c r="E24" s="28" t="s">
        <v>77</v>
      </c>
      <c r="F24" s="29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6"/>
  <sheetViews>
    <sheetView tabSelected="1" topLeftCell="A94" zoomScaleNormal="100" zoomScalePageLayoutView="85" workbookViewId="0">
      <selection activeCell="S109" sqref="S109"/>
    </sheetView>
  </sheetViews>
  <sheetFormatPr defaultColWidth="11.42578125" defaultRowHeight="15"/>
  <cols>
    <col min="1" max="23" width="3.7109375" customWidth="1"/>
    <col min="24" max="24" width="4.85546875" customWidth="1"/>
    <col min="25" max="26" width="3.7109375" customWidth="1"/>
  </cols>
  <sheetData>
    <row r="1" spans="1:49" ht="15" customHeight="1">
      <c r="A1" s="99"/>
      <c r="B1" s="39"/>
      <c r="C1" s="39"/>
      <c r="D1" s="117" t="s">
        <v>79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91" t="s">
        <v>80</v>
      </c>
      <c r="S1" s="92"/>
      <c r="T1" s="92"/>
      <c r="U1" s="92"/>
      <c r="V1" s="92"/>
      <c r="W1" s="92"/>
      <c r="X1" s="93"/>
    </row>
    <row r="2" spans="1:49">
      <c r="A2" s="100"/>
      <c r="B2" s="101"/>
      <c r="C2" s="101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94"/>
      <c r="S2" s="95"/>
      <c r="T2" s="95"/>
      <c r="U2" s="95"/>
      <c r="V2" s="95"/>
      <c r="W2" s="95"/>
      <c r="X2" s="96"/>
    </row>
    <row r="3" spans="1:49" ht="15" customHeight="1">
      <c r="A3" s="100"/>
      <c r="B3" s="101"/>
      <c r="C3" s="101"/>
      <c r="D3" s="119" t="s">
        <v>81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94"/>
      <c r="S3" s="95"/>
      <c r="T3" s="95"/>
      <c r="U3" s="95"/>
      <c r="V3" s="95"/>
      <c r="W3" s="95"/>
      <c r="X3" s="96"/>
    </row>
    <row r="4" spans="1:49" ht="15.75" thickBot="1">
      <c r="A4" s="102"/>
      <c r="B4" s="64"/>
      <c r="C4" s="64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54"/>
      <c r="S4" s="97"/>
      <c r="T4" s="97"/>
      <c r="U4" s="97"/>
      <c r="V4" s="97"/>
      <c r="W4" s="97"/>
      <c r="X4" s="98"/>
    </row>
    <row r="5" spans="1:49" ht="5.0999999999999996" customHeight="1" thickBot="1"/>
    <row r="6" spans="1:49">
      <c r="A6" s="81" t="s">
        <v>3</v>
      </c>
      <c r="B6" s="82"/>
      <c r="C6" s="82"/>
      <c r="D6" s="82"/>
      <c r="E6" s="82"/>
      <c r="F6" s="83" t="str">
        <f>BÚSQUEDA!B5</f>
        <v>DESFIBRILADOR</v>
      </c>
      <c r="G6" s="83"/>
      <c r="H6" s="83"/>
      <c r="I6" s="83"/>
      <c r="J6" s="83"/>
      <c r="K6" s="83"/>
      <c r="L6" s="83"/>
      <c r="M6" s="84" t="s">
        <v>4</v>
      </c>
      <c r="N6" s="82"/>
      <c r="O6" s="82"/>
      <c r="P6" s="82"/>
      <c r="Q6" s="82"/>
      <c r="R6" s="83" t="str">
        <f>BÚSQUEDA!B6</f>
        <v>MINDRAY</v>
      </c>
      <c r="S6" s="83"/>
      <c r="T6" s="83"/>
      <c r="U6" s="83"/>
      <c r="V6" s="83"/>
      <c r="W6" s="83"/>
      <c r="X6" s="85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>
      <c r="A7" s="86" t="s">
        <v>5</v>
      </c>
      <c r="B7" s="87"/>
      <c r="C7" s="87"/>
      <c r="D7" s="87"/>
      <c r="E7" s="87"/>
      <c r="F7" s="88" t="str">
        <f>BÚSQUEDA!B7</f>
        <v>BENEHEART D3</v>
      </c>
      <c r="G7" s="88"/>
      <c r="H7" s="88"/>
      <c r="I7" s="88"/>
      <c r="J7" s="88"/>
      <c r="K7" s="88"/>
      <c r="L7" s="88"/>
      <c r="M7" s="89" t="s">
        <v>6</v>
      </c>
      <c r="N7" s="87"/>
      <c r="O7" s="87"/>
      <c r="P7" s="87"/>
      <c r="Q7" s="87"/>
      <c r="R7" s="88" t="str">
        <f>BÚSQUEDA!B8</f>
        <v>EZ-99025116</v>
      </c>
      <c r="S7" s="88"/>
      <c r="T7" s="88"/>
      <c r="U7" s="88"/>
      <c r="V7" s="88"/>
      <c r="W7" s="88"/>
      <c r="X7" s="90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>
      <c r="A8" s="68" t="s">
        <v>2</v>
      </c>
      <c r="B8" s="69"/>
      <c r="C8" s="69"/>
      <c r="D8" s="69"/>
      <c r="E8" s="69"/>
      <c r="F8" s="70" t="str">
        <f>BÚSQUEDA!B4</f>
        <v>574111</v>
      </c>
      <c r="G8" s="70"/>
      <c r="H8" s="70"/>
      <c r="I8" s="70"/>
      <c r="J8" s="70"/>
      <c r="K8" s="70"/>
      <c r="L8" s="70"/>
      <c r="M8" s="71" t="s">
        <v>7</v>
      </c>
      <c r="N8" s="69"/>
      <c r="O8" s="69"/>
      <c r="P8" s="69"/>
      <c r="Q8" s="69"/>
      <c r="R8" s="70" t="str">
        <f>BÚSQUEDA!B9</f>
        <v>HOSPITALIZACION ADULTOS 5° PISO</v>
      </c>
      <c r="S8" s="70"/>
      <c r="T8" s="70"/>
      <c r="U8" s="70"/>
      <c r="V8" s="70"/>
      <c r="W8" s="70"/>
      <c r="X8" s="121"/>
    </row>
    <row r="9" spans="1:49" ht="5.0999999999999996" customHeight="1" thickBot="1"/>
    <row r="10" spans="1:49">
      <c r="A10" s="128" t="s">
        <v>82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30"/>
      <c r="S10" s="123" t="s">
        <v>83</v>
      </c>
      <c r="T10" s="124"/>
      <c r="U10" s="124"/>
      <c r="V10" s="124"/>
      <c r="W10" s="124"/>
      <c r="X10" s="125"/>
    </row>
    <row r="11" spans="1:49" ht="15.75" thickBot="1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S11" s="126"/>
      <c r="T11" s="64"/>
      <c r="U11" s="64"/>
      <c r="V11" s="64"/>
      <c r="W11" s="64"/>
      <c r="X11" s="103"/>
    </row>
    <row r="12" spans="1:49" ht="5.0999999999999996" customHeight="1" thickBot="1">
      <c r="A12" s="131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</row>
    <row r="13" spans="1:49" ht="15.75" thickBot="1">
      <c r="A13" s="131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  <c r="S13" s="34" t="s">
        <v>84</v>
      </c>
      <c r="T13" s="122"/>
      <c r="U13" s="35" t="s">
        <v>85</v>
      </c>
      <c r="V13" s="35"/>
      <c r="W13" s="35" t="s">
        <v>86</v>
      </c>
      <c r="X13" s="36"/>
    </row>
    <row r="14" spans="1:49" ht="30" customHeight="1">
      <c r="A14" s="134" t="s">
        <v>87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6"/>
      <c r="S14" s="106"/>
      <c r="T14" s="107"/>
      <c r="U14" s="107"/>
      <c r="V14" s="107"/>
      <c r="W14" s="107"/>
      <c r="X14" s="127"/>
    </row>
    <row r="15" spans="1:49">
      <c r="A15" s="108" t="s">
        <v>88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10"/>
      <c r="S15" s="106"/>
      <c r="T15" s="107"/>
      <c r="U15" s="46"/>
      <c r="V15" s="46"/>
      <c r="W15" s="46"/>
      <c r="X15" s="50"/>
    </row>
    <row r="16" spans="1:49" ht="30" customHeight="1">
      <c r="A16" s="108" t="s">
        <v>89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10"/>
      <c r="S16" s="106"/>
      <c r="T16" s="107"/>
      <c r="U16" s="46"/>
      <c r="V16" s="46"/>
      <c r="W16" s="46"/>
      <c r="X16" s="50"/>
    </row>
    <row r="17" spans="1:24">
      <c r="A17" s="108" t="s">
        <v>90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10"/>
      <c r="S17" s="106"/>
      <c r="T17" s="107"/>
      <c r="U17" s="46"/>
      <c r="V17" s="46"/>
      <c r="W17" s="46"/>
      <c r="X17" s="50"/>
    </row>
    <row r="18" spans="1:24" ht="30" customHeight="1">
      <c r="A18" s="108" t="s">
        <v>91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10"/>
      <c r="S18" s="106"/>
      <c r="T18" s="107"/>
      <c r="U18" s="46"/>
      <c r="V18" s="46"/>
      <c r="W18" s="46"/>
      <c r="X18" s="50"/>
    </row>
    <row r="19" spans="1:24">
      <c r="A19" s="108" t="s">
        <v>92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S19" s="106"/>
      <c r="T19" s="107"/>
      <c r="U19" s="46"/>
      <c r="V19" s="46"/>
      <c r="W19" s="46"/>
      <c r="X19" s="50"/>
    </row>
    <row r="20" spans="1:24">
      <c r="A20" s="108" t="s">
        <v>93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S20" s="106"/>
      <c r="T20" s="107"/>
      <c r="U20" s="46"/>
      <c r="V20" s="46"/>
      <c r="W20" s="46"/>
      <c r="X20" s="50"/>
    </row>
    <row r="21" spans="1:24">
      <c r="A21" s="108" t="s">
        <v>94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10"/>
      <c r="S21" s="106"/>
      <c r="T21" s="107"/>
      <c r="U21" s="46"/>
      <c r="V21" s="46"/>
      <c r="W21" s="46"/>
      <c r="X21" s="50"/>
    </row>
    <row r="22" spans="1:24">
      <c r="A22" s="108" t="s">
        <v>95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10"/>
      <c r="S22" s="106"/>
      <c r="T22" s="107"/>
      <c r="U22" s="46"/>
      <c r="V22" s="46"/>
      <c r="W22" s="46"/>
      <c r="X22" s="50"/>
    </row>
    <row r="23" spans="1:24">
      <c r="A23" s="108" t="s">
        <v>96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10"/>
      <c r="S23" s="106"/>
      <c r="T23" s="107"/>
      <c r="U23" s="46"/>
      <c r="V23" s="46"/>
      <c r="W23" s="46"/>
      <c r="X23" s="50"/>
    </row>
    <row r="24" spans="1:24">
      <c r="A24" s="108" t="s">
        <v>97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10"/>
      <c r="S24" s="106"/>
      <c r="T24" s="107"/>
      <c r="U24" s="46"/>
      <c r="V24" s="46"/>
      <c r="W24" s="46"/>
      <c r="X24" s="50"/>
    </row>
    <row r="25" spans="1:24" ht="30" customHeight="1">
      <c r="A25" s="108" t="s">
        <v>98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10"/>
      <c r="S25" s="106"/>
      <c r="T25" s="107"/>
      <c r="U25" s="46"/>
      <c r="V25" s="46"/>
      <c r="W25" s="46"/>
      <c r="X25" s="50"/>
    </row>
    <row r="26" spans="1:24">
      <c r="A26" s="108" t="s">
        <v>99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10"/>
      <c r="S26" s="106"/>
      <c r="T26" s="107"/>
      <c r="U26" s="46"/>
      <c r="V26" s="46"/>
      <c r="W26" s="46"/>
      <c r="X26" s="50"/>
    </row>
    <row r="27" spans="1:24">
      <c r="A27" s="111" t="s">
        <v>100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3"/>
      <c r="S27" s="106"/>
      <c r="T27" s="107"/>
      <c r="U27" s="48"/>
      <c r="V27" s="48"/>
      <c r="W27" s="48"/>
      <c r="X27" s="51"/>
    </row>
    <row r="28" spans="1:24" ht="5.0999999999999996" customHeight="1"/>
    <row r="29" spans="1:24" ht="15" customHeight="1" thickBot="1">
      <c r="A29" s="114" t="s">
        <v>101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6"/>
      <c r="R29" s="2"/>
      <c r="S29" s="40" t="s">
        <v>102</v>
      </c>
      <c r="T29" s="41"/>
      <c r="U29" s="41"/>
      <c r="V29" s="41"/>
      <c r="W29" s="41"/>
      <c r="X29" s="42"/>
    </row>
    <row r="30" spans="1:24" ht="15" customHeight="1">
      <c r="A30" s="43" t="s">
        <v>103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9"/>
      <c r="R30" s="2"/>
      <c r="S30" s="43"/>
      <c r="T30" s="44"/>
      <c r="U30" s="44"/>
      <c r="V30" s="44"/>
      <c r="W30" s="44"/>
      <c r="X30" s="49"/>
    </row>
    <row r="31" spans="1:24" ht="15" customHeight="1">
      <c r="A31" s="45" t="s">
        <v>104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50"/>
      <c r="R31" s="2"/>
      <c r="S31" s="45"/>
      <c r="T31" s="46"/>
      <c r="U31" s="46"/>
      <c r="V31" s="46"/>
      <c r="W31" s="46"/>
      <c r="X31" s="50"/>
    </row>
    <row r="32" spans="1:24" ht="15" customHeight="1" thickBot="1">
      <c r="A32" s="47" t="s">
        <v>105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51"/>
      <c r="R32" s="2"/>
      <c r="S32" s="47"/>
      <c r="T32" s="48"/>
      <c r="U32" s="48"/>
      <c r="V32" s="48"/>
      <c r="W32" s="48"/>
      <c r="X32" s="51"/>
    </row>
    <row r="33" spans="1:24" ht="5.0999999999999996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" customHeight="1" thickBot="1">
      <c r="A34" s="40" t="s">
        <v>106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2"/>
      <c r="R34" s="2"/>
      <c r="S34" s="40" t="s">
        <v>102</v>
      </c>
      <c r="T34" s="41"/>
      <c r="U34" s="41"/>
      <c r="V34" s="41"/>
      <c r="W34" s="41"/>
      <c r="X34" s="42"/>
    </row>
    <row r="35" spans="1:24" ht="15" customHeight="1">
      <c r="A35" s="43" t="s">
        <v>103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9"/>
      <c r="R35" s="2"/>
      <c r="S35" s="43"/>
      <c r="T35" s="44"/>
      <c r="U35" s="44"/>
      <c r="V35" s="44"/>
      <c r="W35" s="44"/>
      <c r="X35" s="49"/>
    </row>
    <row r="36" spans="1:24" ht="15" customHeight="1">
      <c r="A36" s="45" t="s">
        <v>104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50"/>
      <c r="R36" s="2"/>
      <c r="S36" s="45"/>
      <c r="T36" s="46"/>
      <c r="U36" s="46"/>
      <c r="V36" s="46"/>
      <c r="W36" s="46"/>
      <c r="X36" s="50"/>
    </row>
    <row r="37" spans="1:24" ht="15" customHeight="1" thickBot="1">
      <c r="A37" s="47" t="s">
        <v>105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51"/>
      <c r="R37" s="2"/>
      <c r="S37" s="47"/>
      <c r="T37" s="48"/>
      <c r="U37" s="48"/>
      <c r="V37" s="48"/>
      <c r="W37" s="48"/>
      <c r="X37" s="51"/>
    </row>
    <row r="38" spans="1:24" ht="5.0999999999999996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" customHeight="1" thickBot="1">
      <c r="A39" s="40" t="s">
        <v>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2"/>
      <c r="R39" s="2"/>
      <c r="S39" s="40" t="s">
        <v>102</v>
      </c>
      <c r="T39" s="41"/>
      <c r="U39" s="41"/>
      <c r="V39" s="41"/>
      <c r="W39" s="41"/>
      <c r="X39" s="42"/>
    </row>
    <row r="40" spans="1:24" ht="15" customHeight="1">
      <c r="A40" s="43">
        <v>60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9"/>
      <c r="R40" s="2"/>
      <c r="S40" s="43"/>
      <c r="T40" s="44"/>
      <c r="U40" s="44"/>
      <c r="V40" s="44"/>
      <c r="W40" s="44"/>
      <c r="X40" s="49"/>
    </row>
    <row r="41" spans="1:24" ht="15" customHeight="1" thickBot="1">
      <c r="A41" s="47">
        <v>120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51"/>
      <c r="R41" s="2"/>
      <c r="S41" s="47"/>
      <c r="T41" s="48"/>
      <c r="U41" s="48"/>
      <c r="V41" s="48"/>
      <c r="W41" s="48"/>
      <c r="X41" s="51"/>
    </row>
    <row r="42" spans="1:24" ht="5.0999999999999996" customHeight="1" thickBot="1"/>
    <row r="43" spans="1:24" ht="15.75" thickBot="1">
      <c r="A43" s="65" t="s">
        <v>108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7"/>
      <c r="S43" s="34" t="s">
        <v>102</v>
      </c>
      <c r="T43" s="35"/>
      <c r="U43" s="35"/>
      <c r="V43" s="35"/>
      <c r="W43" s="35" t="s">
        <v>86</v>
      </c>
      <c r="X43" s="36"/>
    </row>
    <row r="44" spans="1:24">
      <c r="A44" s="137" t="s">
        <v>109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9"/>
      <c r="S44" s="99"/>
      <c r="T44" s="39"/>
      <c r="U44" s="39"/>
      <c r="V44" s="39"/>
      <c r="W44" s="39"/>
      <c r="X44" s="104"/>
    </row>
    <row r="45" spans="1:24">
      <c r="A45" s="75" t="s">
        <v>110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7"/>
      <c r="S45" s="100"/>
      <c r="T45" s="101"/>
      <c r="U45" s="101"/>
      <c r="V45" s="101"/>
      <c r="W45" s="101"/>
      <c r="X45" s="105"/>
    </row>
    <row r="46" spans="1:24">
      <c r="A46" s="75" t="s">
        <v>111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7"/>
      <c r="S46" s="100"/>
      <c r="T46" s="101"/>
      <c r="U46" s="101"/>
      <c r="V46" s="101"/>
      <c r="W46" s="101"/>
      <c r="X46" s="105"/>
    </row>
    <row r="47" spans="1:24" ht="15.75" thickBot="1">
      <c r="A47" s="78" t="s">
        <v>112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80"/>
      <c r="S47" s="102"/>
      <c r="T47" s="64"/>
      <c r="U47" s="64"/>
      <c r="V47" s="64"/>
      <c r="W47" s="64"/>
      <c r="X47" s="103"/>
    </row>
    <row r="48" spans="1:24">
      <c r="A48" s="99"/>
      <c r="B48" s="39"/>
      <c r="C48" s="39"/>
      <c r="D48" s="117" t="str">
        <f>D1</f>
        <v>EMPRESA SOCIAL DEL ESTADO 
HOSPITAL UNIVERSITARIO SAN JORGE DE PEREIRA</v>
      </c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91" t="s">
        <v>113</v>
      </c>
      <c r="S48" s="92"/>
      <c r="T48" s="92"/>
      <c r="U48" s="92"/>
      <c r="V48" s="92"/>
      <c r="W48" s="92"/>
      <c r="X48" s="93"/>
    </row>
    <row r="49" spans="1:24">
      <c r="A49" s="100"/>
      <c r="B49" s="101"/>
      <c r="C49" s="101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94"/>
      <c r="S49" s="95"/>
      <c r="T49" s="95"/>
      <c r="U49" s="95"/>
      <c r="V49" s="95"/>
      <c r="W49" s="95"/>
      <c r="X49" s="96"/>
    </row>
    <row r="50" spans="1:24">
      <c r="A50" s="100"/>
      <c r="B50" s="101"/>
      <c r="C50" s="101"/>
      <c r="D50" s="119" t="str">
        <f>D3</f>
        <v>LISTA DE CHEQUEO MANTENIMIENTO
 PREVENTIVO DE DESFIBRILADOR</v>
      </c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94"/>
      <c r="S50" s="95"/>
      <c r="T50" s="95"/>
      <c r="U50" s="95"/>
      <c r="V50" s="95"/>
      <c r="W50" s="95"/>
      <c r="X50" s="96"/>
    </row>
    <row r="51" spans="1:24" ht="15.75" thickBot="1">
      <c r="A51" s="102"/>
      <c r="B51" s="64"/>
      <c r="C51" s="64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54"/>
      <c r="S51" s="97"/>
      <c r="T51" s="97"/>
      <c r="U51" s="97"/>
      <c r="V51" s="97"/>
      <c r="W51" s="97"/>
      <c r="X51" s="98"/>
    </row>
    <row r="52" spans="1:24" ht="5.0999999999999996" customHeight="1" thickBot="1"/>
    <row r="53" spans="1:24">
      <c r="A53" s="81" t="s">
        <v>3</v>
      </c>
      <c r="B53" s="82"/>
      <c r="C53" s="82"/>
      <c r="D53" s="82"/>
      <c r="E53" s="82"/>
      <c r="F53" s="83" t="str">
        <f>F6</f>
        <v>DESFIBRILADOR</v>
      </c>
      <c r="G53" s="83"/>
      <c r="H53" s="83"/>
      <c r="I53" s="83"/>
      <c r="J53" s="83"/>
      <c r="K53" s="83"/>
      <c r="L53" s="83"/>
      <c r="M53" s="84" t="s">
        <v>4</v>
      </c>
      <c r="N53" s="82"/>
      <c r="O53" s="82"/>
      <c r="P53" s="82"/>
      <c r="Q53" s="82"/>
      <c r="R53" s="83" t="str">
        <f>R6</f>
        <v>MINDRAY</v>
      </c>
      <c r="S53" s="83"/>
      <c r="T53" s="83"/>
      <c r="U53" s="83"/>
      <c r="V53" s="83"/>
      <c r="W53" s="83"/>
      <c r="X53" s="85"/>
    </row>
    <row r="54" spans="1:24">
      <c r="A54" s="86" t="s">
        <v>5</v>
      </c>
      <c r="B54" s="87"/>
      <c r="C54" s="87"/>
      <c r="D54" s="87"/>
      <c r="E54" s="87"/>
      <c r="F54" s="88" t="str">
        <f>F7</f>
        <v>BENEHEART D3</v>
      </c>
      <c r="G54" s="88"/>
      <c r="H54" s="88"/>
      <c r="I54" s="88"/>
      <c r="J54" s="88"/>
      <c r="K54" s="88"/>
      <c r="L54" s="88"/>
      <c r="M54" s="89" t="s">
        <v>6</v>
      </c>
      <c r="N54" s="87"/>
      <c r="O54" s="87"/>
      <c r="P54" s="87"/>
      <c r="Q54" s="87"/>
      <c r="R54" s="88" t="str">
        <f>R7</f>
        <v>EZ-99025116</v>
      </c>
      <c r="S54" s="88"/>
      <c r="T54" s="88"/>
      <c r="U54" s="88"/>
      <c r="V54" s="88"/>
      <c r="W54" s="88"/>
      <c r="X54" s="90"/>
    </row>
    <row r="55" spans="1:24" ht="15.75" customHeight="1">
      <c r="A55" s="68" t="s">
        <v>2</v>
      </c>
      <c r="B55" s="69"/>
      <c r="C55" s="69"/>
      <c r="D55" s="69"/>
      <c r="E55" s="69"/>
      <c r="F55" s="70" t="str">
        <f>F8</f>
        <v>574111</v>
      </c>
      <c r="G55" s="70"/>
      <c r="H55" s="70"/>
      <c r="I55" s="70"/>
      <c r="J55" s="70"/>
      <c r="K55" s="70"/>
      <c r="L55" s="70"/>
      <c r="M55" s="71" t="s">
        <v>7</v>
      </c>
      <c r="N55" s="69"/>
      <c r="O55" s="69"/>
      <c r="P55" s="69"/>
      <c r="Q55" s="69"/>
      <c r="R55" s="72" t="str">
        <f>R8</f>
        <v>HOSPITALIZACION ADULTOS 5° PISO</v>
      </c>
      <c r="S55" s="73"/>
      <c r="T55" s="73"/>
      <c r="U55" s="73"/>
      <c r="V55" s="73"/>
      <c r="W55" s="73"/>
      <c r="X55" s="74"/>
    </row>
    <row r="56" spans="1:24" ht="5.0999999999999996" customHeight="1"/>
    <row r="57" spans="1:24" ht="15" customHeight="1">
      <c r="A57" s="65" t="s">
        <v>108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7"/>
      <c r="S57" s="34" t="s">
        <v>102</v>
      </c>
      <c r="T57" s="35"/>
      <c r="U57" s="35"/>
      <c r="V57" s="35"/>
      <c r="W57" s="35" t="s">
        <v>86</v>
      </c>
      <c r="X57" s="36"/>
    </row>
    <row r="58" spans="1:24">
      <c r="A58" s="75" t="s">
        <v>114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7"/>
      <c r="S58" s="100"/>
      <c r="T58" s="101"/>
      <c r="U58" s="101"/>
      <c r="V58" s="101"/>
      <c r="W58" s="101"/>
      <c r="X58" s="105"/>
    </row>
    <row r="59" spans="1:24">
      <c r="A59" s="75" t="s">
        <v>115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7"/>
      <c r="S59" s="100"/>
      <c r="T59" s="101"/>
      <c r="U59" s="101"/>
      <c r="V59" s="101"/>
      <c r="W59" s="101"/>
      <c r="X59" s="105"/>
    </row>
    <row r="60" spans="1:24">
      <c r="A60" s="75" t="s">
        <v>116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7"/>
      <c r="S60" s="100"/>
      <c r="T60" s="101"/>
      <c r="U60" s="101"/>
      <c r="V60" s="101"/>
      <c r="W60" s="101"/>
      <c r="X60" s="105"/>
    </row>
    <row r="61" spans="1:24">
      <c r="A61" s="75" t="s">
        <v>117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7"/>
      <c r="S61" s="100"/>
      <c r="T61" s="101"/>
      <c r="U61" s="101"/>
      <c r="V61" s="101"/>
      <c r="W61" s="101"/>
      <c r="X61" s="105"/>
    </row>
    <row r="62" spans="1:24" ht="15.75" thickBot="1">
      <c r="A62" s="78" t="s">
        <v>118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0"/>
      <c r="S62" s="102"/>
      <c r="T62" s="64"/>
      <c r="U62" s="64"/>
      <c r="V62" s="64"/>
      <c r="W62" s="64"/>
      <c r="X62" s="103"/>
    </row>
    <row r="63" spans="1:24" ht="5.0999999999999996" customHeight="1" thickBot="1"/>
    <row r="64" spans="1:24" ht="15.75" thickBot="1">
      <c r="A64" s="31" t="s">
        <v>119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3"/>
    </row>
    <row r="65" spans="1:24">
      <c r="A65" s="140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2"/>
    </row>
    <row r="66" spans="1:24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5"/>
    </row>
    <row r="67" spans="1:24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5"/>
    </row>
    <row r="68" spans="1:24">
      <c r="A68" s="143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5"/>
    </row>
    <row r="69" spans="1:24">
      <c r="A69" s="143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5"/>
    </row>
    <row r="70" spans="1:24">
      <c r="A70" s="143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5"/>
    </row>
    <row r="71" spans="1:24">
      <c r="A71" s="143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5"/>
    </row>
    <row r="72" spans="1:24">
      <c r="A72" s="143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5"/>
    </row>
    <row r="73" spans="1:24">
      <c r="A73" s="143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5"/>
    </row>
    <row r="74" spans="1:24">
      <c r="A74" s="143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5"/>
    </row>
    <row r="75" spans="1:24">
      <c r="A75" s="143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5"/>
    </row>
    <row r="76" spans="1:24">
      <c r="A76" s="143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5"/>
    </row>
    <row r="77" spans="1:24">
      <c r="A77" s="143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5"/>
    </row>
    <row r="78" spans="1:24">
      <c r="A78" s="143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5"/>
    </row>
    <row r="79" spans="1:24">
      <c r="A79" s="43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9"/>
    </row>
    <row r="80" spans="1:24">
      <c r="A80" s="45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50"/>
    </row>
    <row r="81" spans="1:24">
      <c r="A81" s="45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50"/>
    </row>
    <row r="82" spans="1:24">
      <c r="A82" s="45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50"/>
    </row>
    <row r="83" spans="1:24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50"/>
    </row>
    <row r="84" spans="1:24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50"/>
    </row>
    <row r="85" spans="1:24">
      <c r="A85" s="45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50"/>
    </row>
    <row r="86" spans="1:24">
      <c r="A86" s="45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50"/>
    </row>
    <row r="87" spans="1:24">
      <c r="A87" s="45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50"/>
    </row>
    <row r="88" spans="1:24" ht="5.0999999999999996" customHeight="1" thickBot="1"/>
    <row r="89" spans="1:24" ht="15.75" thickBot="1">
      <c r="A89" s="40" t="s">
        <v>120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 t="s">
        <v>121</v>
      </c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2"/>
    </row>
    <row r="90" spans="1:24">
      <c r="A90" s="43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9"/>
    </row>
    <row r="91" spans="1:24">
      <c r="A91" s="45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50"/>
    </row>
    <row r="92" spans="1:24" ht="15.75" thickBot="1">
      <c r="A92" s="47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51"/>
    </row>
    <row r="93" spans="1:24" ht="5.0999999999999996" customHeight="1" thickBot="1"/>
    <row r="94" spans="1:24" ht="15.75" thickBot="1">
      <c r="A94" s="34" t="s">
        <v>122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6"/>
    </row>
    <row r="95" spans="1:24">
      <c r="A95" s="37" t="s">
        <v>84</v>
      </c>
      <c r="B95" s="38"/>
      <c r="C95" s="39" t="s">
        <v>123</v>
      </c>
      <c r="D95" s="39"/>
      <c r="E95" s="39"/>
      <c r="F95" s="39"/>
      <c r="G95" s="39"/>
      <c r="H95" s="39"/>
      <c r="I95" s="38" t="s">
        <v>85</v>
      </c>
      <c r="J95" s="38"/>
      <c r="K95" s="39" t="s">
        <v>124</v>
      </c>
      <c r="L95" s="39"/>
      <c r="M95" s="39"/>
      <c r="N95" s="39"/>
      <c r="O95" s="39"/>
      <c r="P95" s="39"/>
      <c r="Q95" s="52" t="s">
        <v>86</v>
      </c>
      <c r="R95" s="53"/>
      <c r="S95" s="56" t="s">
        <v>125</v>
      </c>
      <c r="T95" s="57"/>
      <c r="U95" s="57"/>
      <c r="V95" s="57"/>
      <c r="W95" s="57"/>
      <c r="X95" s="58"/>
    </row>
    <row r="96" spans="1:24" ht="15.75" thickBot="1">
      <c r="A96" s="62" t="s">
        <v>126</v>
      </c>
      <c r="B96" s="63"/>
      <c r="C96" s="64" t="s">
        <v>127</v>
      </c>
      <c r="D96" s="64"/>
      <c r="E96" s="64"/>
      <c r="F96" s="64"/>
      <c r="G96" s="64"/>
      <c r="H96" s="64"/>
      <c r="I96" s="63" t="s">
        <v>128</v>
      </c>
      <c r="J96" s="63"/>
      <c r="K96" s="64" t="s">
        <v>129</v>
      </c>
      <c r="L96" s="64"/>
      <c r="M96" s="64"/>
      <c r="N96" s="64"/>
      <c r="O96" s="64"/>
      <c r="P96" s="64"/>
      <c r="Q96" s="54"/>
      <c r="R96" s="55"/>
      <c r="S96" s="59"/>
      <c r="T96" s="60"/>
      <c r="U96" s="60"/>
      <c r="V96" s="60"/>
      <c r="W96" s="60"/>
      <c r="X96" s="61"/>
    </row>
  </sheetData>
  <mergeCells count="188">
    <mergeCell ref="A60:Q60"/>
    <mergeCell ref="S60:V60"/>
    <mergeCell ref="W60:X60"/>
    <mergeCell ref="S61:V61"/>
    <mergeCell ref="W61:X61"/>
    <mergeCell ref="A37:Q37"/>
    <mergeCell ref="A39:Q39"/>
    <mergeCell ref="A41:Q41"/>
    <mergeCell ref="S41:X41"/>
    <mergeCell ref="A40:Q40"/>
    <mergeCell ref="S40:X40"/>
    <mergeCell ref="A47:Q47"/>
    <mergeCell ref="A58:Q58"/>
    <mergeCell ref="A59:Q59"/>
    <mergeCell ref="A43:Q43"/>
    <mergeCell ref="A44:Q44"/>
    <mergeCell ref="A46:Q46"/>
    <mergeCell ref="W46:X46"/>
    <mergeCell ref="S58:V58"/>
    <mergeCell ref="W58:X58"/>
    <mergeCell ref="S59:V59"/>
    <mergeCell ref="W59:X59"/>
    <mergeCell ref="D48:Q49"/>
    <mergeCell ref="D50:Q51"/>
    <mergeCell ref="W21:X21"/>
    <mergeCell ref="S29:X29"/>
    <mergeCell ref="S30:X30"/>
    <mergeCell ref="S31:X31"/>
    <mergeCell ref="S32:X32"/>
    <mergeCell ref="S34:X34"/>
    <mergeCell ref="S35:X35"/>
    <mergeCell ref="S36:X36"/>
    <mergeCell ref="S37:X37"/>
    <mergeCell ref="U22:V22"/>
    <mergeCell ref="W26:X26"/>
    <mergeCell ref="U27:V27"/>
    <mergeCell ref="W27:X27"/>
    <mergeCell ref="S22:T22"/>
    <mergeCell ref="S23:T23"/>
    <mergeCell ref="S24:T24"/>
    <mergeCell ref="U26:V26"/>
    <mergeCell ref="W22:X22"/>
    <mergeCell ref="W23:X23"/>
    <mergeCell ref="U24:V24"/>
    <mergeCell ref="W24:X24"/>
    <mergeCell ref="U25:V25"/>
    <mergeCell ref="W25:X25"/>
    <mergeCell ref="S25:T25"/>
    <mergeCell ref="W20:X20"/>
    <mergeCell ref="W15:X15"/>
    <mergeCell ref="U16:V16"/>
    <mergeCell ref="W16:X16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W17:X17"/>
    <mergeCell ref="A18:Q18"/>
    <mergeCell ref="S18:T18"/>
    <mergeCell ref="U18:V18"/>
    <mergeCell ref="W18:X18"/>
    <mergeCell ref="A19:Q19"/>
    <mergeCell ref="S19:T19"/>
    <mergeCell ref="U19:V19"/>
    <mergeCell ref="A1:C4"/>
    <mergeCell ref="D1:Q2"/>
    <mergeCell ref="D3:Q4"/>
    <mergeCell ref="A6:E6"/>
    <mergeCell ref="A7:E7"/>
    <mergeCell ref="R7:X7"/>
    <mergeCell ref="R1:X4"/>
    <mergeCell ref="W19:X19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S15:T15"/>
    <mergeCell ref="S16:T16"/>
    <mergeCell ref="A15:Q15"/>
    <mergeCell ref="A16:Q16"/>
    <mergeCell ref="A22:Q22"/>
    <mergeCell ref="A23:Q23"/>
    <mergeCell ref="U15:V15"/>
    <mergeCell ref="A21:Q21"/>
    <mergeCell ref="S21:T21"/>
    <mergeCell ref="U21:V21"/>
    <mergeCell ref="A17:Q17"/>
    <mergeCell ref="S17:T17"/>
    <mergeCell ref="U17:V17"/>
    <mergeCell ref="A20:Q20"/>
    <mergeCell ref="S20:T20"/>
    <mergeCell ref="U20:V20"/>
    <mergeCell ref="U23:V23"/>
    <mergeCell ref="S26:T26"/>
    <mergeCell ref="S27:T27"/>
    <mergeCell ref="A26:Q26"/>
    <mergeCell ref="A27:Q27"/>
    <mergeCell ref="A24:Q24"/>
    <mergeCell ref="A25:Q25"/>
    <mergeCell ref="A29:Q29"/>
    <mergeCell ref="A30:Q30"/>
    <mergeCell ref="A31:Q31"/>
    <mergeCell ref="A32:Q32"/>
    <mergeCell ref="A34:Q34"/>
    <mergeCell ref="S39:X39"/>
    <mergeCell ref="A35:Q35"/>
    <mergeCell ref="A36:Q36"/>
    <mergeCell ref="A70:X70"/>
    <mergeCell ref="A71:X71"/>
    <mergeCell ref="A48:C51"/>
    <mergeCell ref="S62:V62"/>
    <mergeCell ref="W62:X62"/>
    <mergeCell ref="S47:V47"/>
    <mergeCell ref="W47:X47"/>
    <mergeCell ref="S43:V43"/>
    <mergeCell ref="W43:X43"/>
    <mergeCell ref="S44:V44"/>
    <mergeCell ref="W44:X44"/>
    <mergeCell ref="S45:V45"/>
    <mergeCell ref="W45:X45"/>
    <mergeCell ref="S46:V46"/>
    <mergeCell ref="A66:X66"/>
    <mergeCell ref="A67:X67"/>
    <mergeCell ref="A68:X68"/>
    <mergeCell ref="A69:X69"/>
    <mergeCell ref="A45:Q45"/>
    <mergeCell ref="A53:E53"/>
    <mergeCell ref="F53:L53"/>
    <mergeCell ref="M53:Q53"/>
    <mergeCell ref="R53:X53"/>
    <mergeCell ref="A54:E54"/>
    <mergeCell ref="F54:L54"/>
    <mergeCell ref="M54:Q54"/>
    <mergeCell ref="R54:X54"/>
    <mergeCell ref="R48:X51"/>
    <mergeCell ref="A57:Q57"/>
    <mergeCell ref="S57:V57"/>
    <mergeCell ref="W57:X57"/>
    <mergeCell ref="A86:X86"/>
    <mergeCell ref="A87:X87"/>
    <mergeCell ref="A55:E55"/>
    <mergeCell ref="F55:L55"/>
    <mergeCell ref="M55:Q55"/>
    <mergeCell ref="R55:X55"/>
    <mergeCell ref="A84:X84"/>
    <mergeCell ref="A85:X85"/>
    <mergeCell ref="A79:X79"/>
    <mergeCell ref="A80:X80"/>
    <mergeCell ref="A81:X81"/>
    <mergeCell ref="A82:X82"/>
    <mergeCell ref="A83:X83"/>
    <mergeCell ref="A76:X76"/>
    <mergeCell ref="A77:X77"/>
    <mergeCell ref="A78:X78"/>
    <mergeCell ref="A72:X72"/>
    <mergeCell ref="A73:X73"/>
    <mergeCell ref="A74:X74"/>
    <mergeCell ref="A61:Q61"/>
    <mergeCell ref="A62:Q62"/>
    <mergeCell ref="A75:X75"/>
    <mergeCell ref="A64:X64"/>
    <mergeCell ref="A65:X65"/>
    <mergeCell ref="A94:X94"/>
    <mergeCell ref="A95:B95"/>
    <mergeCell ref="C95:H95"/>
    <mergeCell ref="I95:J95"/>
    <mergeCell ref="K95:P95"/>
    <mergeCell ref="A89:L89"/>
    <mergeCell ref="M89:X89"/>
    <mergeCell ref="A90:L92"/>
    <mergeCell ref="M90:X92"/>
    <mergeCell ref="Q95:R96"/>
    <mergeCell ref="S95:X96"/>
    <mergeCell ref="A96:B96"/>
    <mergeCell ref="C96:H96"/>
    <mergeCell ref="I96:J96"/>
    <mergeCell ref="K96:P96"/>
  </mergeCells>
  <printOptions horizontalCentered="1" verticalCentered="1"/>
  <pageMargins left="0.25" right="0.25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2026-03-12T20:58:39Z</dcterms:modified>
  <cp:category/>
  <cp:contentStatus/>
</cp:coreProperties>
</file>