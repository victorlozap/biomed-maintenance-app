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30"/>
  <workbookPr updateLinks="always"/>
  <xr:revisionPtr revIDLastSave="0" documentId="8_{C48AFA1A-0ED2-4DE0-96B7-22917EB4B5B6}" xr6:coauthVersionLast="47" xr6:coauthVersionMax="47" xr10:uidLastSave="{00000000-0000-0000-0000-000000000000}"/>
  <bookViews>
    <workbookView xWindow="0" yWindow="0" windowWidth="0" windowHeight="0" firstSheet="1" activeTab="1" xr2:uid="{00000000-000D-0000-FFFF-FFFF00000000}"/>
  </bookViews>
  <sheets>
    <sheet name="GENERALIDADES" sheetId="1" state="hidden" r:id="rId1"/>
    <sheet name="MARZO" sheetId="2" r:id="rId2"/>
  </sheets>
  <definedNames>
    <definedName name="_xlnm._FilterDatabase" localSheetId="1" hidden="1">MARZO!$A$1:$AF$161</definedName>
    <definedName name="CAUSA" localSheetId="0">GENERALIDADES!$B$2:$B$6</definedName>
    <definedName name="ESTADO" localSheetId="0">GENERALIDADES!$C$2:$C$3</definedName>
    <definedName name="PARADA" localSheetId="0">GENERALIDADES!$I$2:$I$3</definedName>
    <definedName name="RONDAS" localSheetId="0">GENERALIDADES!$E$2:$E$6</definedName>
    <definedName name="TIPO_REPORTE" localSheetId="0">GENERALIDADES!$A$2</definedName>
    <definedName name="TIPODEPARADA" localSheetId="0">GENERALIDADES!$J:$J</definedName>
  </definedNames>
  <calcPr calcId="191028"/>
  <customWorkbookViews>
    <customWorkbookView name="Filtro 1" guid="{EB192CB7-56D6-48C1-B120-CCD471E1C497}" maximized="1" windowWidth="0" windowHeight="0" activeSheetId="0"/>
    <customWorkbookView name="Filtro 2" guid="{4F823857-5C76-4038-86E7-72C7D446B0E8}" maximized="1" windowWidth="0" windowHeight="0" activeSheetId="0"/>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3WAHxn3/DWJads6F5iWj3UcPumO/f4KmV0/Ei9kZ7gw="/>
    </ext>
  </extLst>
</workbook>
</file>

<file path=xl/calcChain.xml><?xml version="1.0" encoding="utf-8"?>
<calcChain xmlns="http://schemas.openxmlformats.org/spreadsheetml/2006/main">
  <c r="P140" i="2" l="1"/>
  <c r="H167" i="2"/>
  <c r="H166" i="2"/>
  <c r="H165" i="2"/>
  <c r="H164" i="2"/>
  <c r="R126" i="2"/>
  <c r="U126" i="2" s="1"/>
  <c r="X126" i="2" s="1"/>
  <c r="P126" i="2"/>
  <c r="R155" i="2"/>
  <c r="U155" i="2" s="1"/>
  <c r="X155" i="2" s="1"/>
  <c r="P155" i="2"/>
  <c r="R160" i="2"/>
  <c r="U160" i="2" s="1"/>
  <c r="X160" i="2" s="1"/>
  <c r="P160" i="2"/>
  <c r="R156" i="2"/>
  <c r="U156" i="2" s="1"/>
  <c r="X156" i="2" s="1"/>
  <c r="P156" i="2"/>
  <c r="R159" i="2"/>
  <c r="U159" i="2" s="1"/>
  <c r="X159" i="2" s="1"/>
  <c r="P159" i="2"/>
  <c r="R145" i="2"/>
  <c r="U145" i="2" s="1"/>
  <c r="X145" i="2" s="1"/>
  <c r="P145" i="2"/>
  <c r="R143" i="2"/>
  <c r="U143" i="2" s="1"/>
  <c r="X143" i="2" s="1"/>
  <c r="P143" i="2"/>
  <c r="R131" i="2"/>
  <c r="U131" i="2" s="1"/>
  <c r="X131" i="2" s="1"/>
  <c r="P131" i="2"/>
  <c r="R127" i="2"/>
  <c r="U127" i="2" s="1"/>
  <c r="X127" i="2" s="1"/>
  <c r="P127" i="2"/>
  <c r="R90" i="2"/>
  <c r="R95" i="2"/>
  <c r="U95" i="2"/>
  <c r="X95" i="2"/>
  <c r="P95" i="2"/>
  <c r="R46" i="2"/>
  <c r="U46" i="2"/>
  <c r="X46" i="2"/>
  <c r="P46" i="2"/>
  <c r="R50" i="2"/>
  <c r="U50" i="2"/>
  <c r="X50" i="2"/>
  <c r="P50" i="2"/>
  <c r="R66" i="2"/>
  <c r="U66" i="2"/>
  <c r="X66" i="2"/>
  <c r="P66" i="2"/>
  <c r="R69" i="2"/>
  <c r="U69" i="2"/>
  <c r="X69" i="2"/>
  <c r="P69" i="2"/>
  <c r="R56" i="2"/>
  <c r="U56" i="2"/>
  <c r="X56" i="2"/>
  <c r="P56" i="2"/>
  <c r="R51" i="2"/>
  <c r="U51" i="2"/>
  <c r="X51" i="2"/>
  <c r="R48" i="2"/>
  <c r="U48" i="2"/>
  <c r="X48" i="2"/>
  <c r="P48" i="2"/>
  <c r="R38" i="2"/>
  <c r="U38" i="2"/>
  <c r="X38" i="2"/>
  <c r="P38" i="2"/>
  <c r="R35" i="2"/>
  <c r="U35" i="2"/>
  <c r="X35" i="2"/>
  <c r="P35" i="2"/>
  <c r="R41" i="2"/>
  <c r="U41" i="2"/>
  <c r="X41" i="2"/>
  <c r="P41" i="2"/>
  <c r="R40" i="2"/>
  <c r="U40" i="2"/>
  <c r="X40" i="2"/>
  <c r="P40" i="2"/>
  <c r="R39" i="2"/>
  <c r="U39" i="2"/>
  <c r="X39" i="2"/>
  <c r="P39" i="2"/>
  <c r="R37" i="2"/>
  <c r="U37" i="2"/>
  <c r="X37" i="2"/>
  <c r="P37" i="2"/>
  <c r="AD36" i="2"/>
  <c r="R20" i="2"/>
  <c r="U20" i="2"/>
  <c r="X20" i="2"/>
  <c r="P20" i="2"/>
  <c r="R7" i="2"/>
  <c r="U7" i="2"/>
  <c r="X7" i="2"/>
  <c r="P7" i="2"/>
  <c r="AD3" i="2"/>
  <c r="AE3" i="2"/>
  <c r="AF3" i="2"/>
  <c r="AD4" i="2"/>
  <c r="AE4" i="2"/>
  <c r="AF4" i="2"/>
  <c r="AD5" i="2"/>
  <c r="AE5" i="2"/>
  <c r="AF5" i="2"/>
  <c r="AD6" i="2"/>
  <c r="AE6" i="2"/>
  <c r="AF6" i="2"/>
  <c r="AD7" i="2"/>
  <c r="AE7" i="2"/>
  <c r="AF7" i="2"/>
  <c r="AD8" i="2"/>
  <c r="AE8" i="2"/>
  <c r="AF8" i="2"/>
  <c r="AD9" i="2"/>
  <c r="AE9" i="2"/>
  <c r="AF9" i="2"/>
  <c r="AD10" i="2"/>
  <c r="AE10" i="2"/>
  <c r="AF10" i="2"/>
  <c r="AD11" i="2"/>
  <c r="AE11" i="2"/>
  <c r="AF11" i="2"/>
  <c r="AD12" i="2"/>
  <c r="AE12" i="2"/>
  <c r="AF12" i="2"/>
  <c r="AD13" i="2"/>
  <c r="AE13" i="2"/>
  <c r="AF13" i="2"/>
  <c r="AD14" i="2"/>
  <c r="AE14" i="2"/>
  <c r="AF14" i="2"/>
  <c r="AD15" i="2"/>
  <c r="AE15" i="2"/>
  <c r="AF15" i="2"/>
  <c r="AD16" i="2"/>
  <c r="AE16" i="2"/>
  <c r="AF16" i="2"/>
  <c r="AD17" i="2"/>
  <c r="AE17" i="2"/>
  <c r="AF17" i="2"/>
  <c r="AD18" i="2"/>
  <c r="AE18" i="2"/>
  <c r="AF18" i="2"/>
  <c r="AD19" i="2"/>
  <c r="AE19" i="2"/>
  <c r="AF19" i="2"/>
  <c r="AD20" i="2"/>
  <c r="AE20" i="2"/>
  <c r="AF20" i="2"/>
  <c r="AD21" i="2"/>
  <c r="AE21" i="2"/>
  <c r="AF21" i="2"/>
  <c r="AD22" i="2"/>
  <c r="AE22" i="2"/>
  <c r="AF22" i="2"/>
  <c r="AD23" i="2"/>
  <c r="AE23" i="2"/>
  <c r="AF23" i="2"/>
  <c r="AD24" i="2"/>
  <c r="AE24" i="2"/>
  <c r="AF24" i="2"/>
  <c r="AD25" i="2"/>
  <c r="AE25" i="2"/>
  <c r="AF25" i="2"/>
  <c r="AD26" i="2"/>
  <c r="AE26" i="2"/>
  <c r="AF26" i="2"/>
  <c r="AD27" i="2"/>
  <c r="AE27" i="2"/>
  <c r="AF27" i="2"/>
  <c r="AD28" i="2"/>
  <c r="AE28" i="2"/>
  <c r="AF28" i="2"/>
  <c r="AD29" i="2"/>
  <c r="AE29" i="2"/>
  <c r="AF29" i="2"/>
  <c r="AD30" i="2"/>
  <c r="AE30" i="2"/>
  <c r="AF30" i="2"/>
  <c r="AD31" i="2"/>
  <c r="AE31" i="2"/>
  <c r="AF31" i="2"/>
  <c r="AD32" i="2"/>
  <c r="AE32" i="2"/>
  <c r="AF32" i="2"/>
  <c r="AD33" i="2"/>
  <c r="AE33" i="2"/>
  <c r="AF33" i="2"/>
  <c r="AD34" i="2"/>
  <c r="AE34" i="2"/>
  <c r="AF34" i="2"/>
  <c r="AD35" i="2"/>
  <c r="AE35" i="2"/>
  <c r="AF35" i="2"/>
  <c r="AE36" i="2"/>
  <c r="AF36" i="2"/>
  <c r="AD37" i="2"/>
  <c r="AE37" i="2"/>
  <c r="AF37" i="2"/>
  <c r="AD38" i="2"/>
  <c r="AE38" i="2"/>
  <c r="AF38" i="2"/>
  <c r="AD39" i="2"/>
  <c r="AE39" i="2"/>
  <c r="AF39" i="2"/>
  <c r="AD40" i="2"/>
  <c r="AE40" i="2"/>
  <c r="AF40" i="2"/>
  <c r="AD41" i="2"/>
  <c r="AE41" i="2"/>
  <c r="AF41" i="2"/>
  <c r="AD42" i="2"/>
  <c r="AE42" i="2"/>
  <c r="AF42" i="2"/>
  <c r="AD43" i="2"/>
  <c r="AE43" i="2"/>
  <c r="AF43" i="2"/>
  <c r="AD44" i="2"/>
  <c r="AE44" i="2"/>
  <c r="AF44" i="2"/>
  <c r="AD45" i="2"/>
  <c r="AE45" i="2"/>
  <c r="AF45" i="2"/>
  <c r="AD46" i="2"/>
  <c r="AE46" i="2"/>
  <c r="AF46" i="2"/>
  <c r="AD47" i="2"/>
  <c r="AE47" i="2"/>
  <c r="AF47" i="2"/>
  <c r="AD48" i="2"/>
  <c r="AE48" i="2"/>
  <c r="AF48" i="2"/>
  <c r="AD49" i="2"/>
  <c r="AE49" i="2"/>
  <c r="AF49" i="2"/>
  <c r="AD50" i="2"/>
  <c r="AE50" i="2"/>
  <c r="AF50" i="2"/>
  <c r="AD51" i="2"/>
  <c r="AE51" i="2"/>
  <c r="AF51" i="2"/>
  <c r="AD52" i="2"/>
  <c r="AE52" i="2"/>
  <c r="AF52" i="2"/>
  <c r="AD53" i="2"/>
  <c r="AE53" i="2"/>
  <c r="AF53" i="2"/>
  <c r="AD54" i="2"/>
  <c r="AE54" i="2"/>
  <c r="AF54" i="2"/>
  <c r="AD55" i="2"/>
  <c r="AE55" i="2"/>
  <c r="AF55" i="2"/>
  <c r="AD56" i="2"/>
  <c r="AE56" i="2"/>
  <c r="AF56" i="2"/>
  <c r="AD57" i="2"/>
  <c r="AE57" i="2"/>
  <c r="AF57" i="2"/>
  <c r="AD58" i="2"/>
  <c r="AE58" i="2"/>
  <c r="AF58" i="2"/>
  <c r="AD59" i="2"/>
  <c r="AE59" i="2"/>
  <c r="AF59" i="2"/>
  <c r="AD60" i="2"/>
  <c r="AE60" i="2"/>
  <c r="AF60" i="2"/>
  <c r="AD61" i="2"/>
  <c r="AE61" i="2"/>
  <c r="AF61" i="2"/>
  <c r="AD62" i="2"/>
  <c r="AE62" i="2"/>
  <c r="AF62" i="2"/>
  <c r="AD63" i="2"/>
  <c r="AE63" i="2"/>
  <c r="AF63" i="2"/>
  <c r="AD64" i="2"/>
  <c r="AE64" i="2"/>
  <c r="AF64" i="2"/>
  <c r="AD65" i="2"/>
  <c r="AE65" i="2"/>
  <c r="AF65" i="2"/>
  <c r="AD66" i="2"/>
  <c r="AE66" i="2"/>
  <c r="AF66" i="2"/>
  <c r="AD67" i="2"/>
  <c r="AE67" i="2"/>
  <c r="AF67" i="2"/>
  <c r="AD68" i="2"/>
  <c r="AE68" i="2"/>
  <c r="AF68" i="2"/>
  <c r="AD69" i="2"/>
  <c r="AE69" i="2"/>
  <c r="AF69" i="2"/>
  <c r="AD70" i="2"/>
  <c r="AE70" i="2"/>
  <c r="AF70" i="2"/>
  <c r="AD71" i="2"/>
  <c r="AE71" i="2"/>
  <c r="AF71" i="2"/>
  <c r="AD72" i="2"/>
  <c r="AE72" i="2"/>
  <c r="AF72" i="2"/>
  <c r="AD73" i="2"/>
  <c r="AE73" i="2"/>
  <c r="AF73" i="2"/>
  <c r="AD74" i="2"/>
  <c r="AE74" i="2"/>
  <c r="AF74" i="2"/>
  <c r="AD75" i="2"/>
  <c r="AE75" i="2"/>
  <c r="AF75" i="2"/>
  <c r="AD76" i="2"/>
  <c r="AE76" i="2"/>
  <c r="AF76" i="2"/>
  <c r="AD77" i="2"/>
  <c r="AE77" i="2"/>
  <c r="AF77" i="2"/>
  <c r="AD78" i="2"/>
  <c r="AE78" i="2"/>
  <c r="AF78" i="2"/>
  <c r="AD79" i="2"/>
  <c r="AE79" i="2"/>
  <c r="AF79" i="2"/>
  <c r="AD80" i="2"/>
  <c r="AE80" i="2"/>
  <c r="AF80" i="2"/>
  <c r="AD81" i="2"/>
  <c r="AE81" i="2"/>
  <c r="AF81" i="2"/>
  <c r="AD82" i="2"/>
  <c r="AE82" i="2"/>
  <c r="AF82" i="2"/>
  <c r="AD83" i="2"/>
  <c r="AE83" i="2"/>
  <c r="AF83" i="2"/>
  <c r="AD84" i="2"/>
  <c r="AE84" i="2"/>
  <c r="AF84" i="2"/>
  <c r="AD85" i="2"/>
  <c r="AE85" i="2"/>
  <c r="AF85" i="2"/>
  <c r="AD86" i="2"/>
  <c r="AE86" i="2"/>
  <c r="AF86" i="2"/>
  <c r="AD87" i="2"/>
  <c r="AE87" i="2"/>
  <c r="AF87" i="2"/>
  <c r="AD88" i="2"/>
  <c r="AE88" i="2"/>
  <c r="AF88" i="2"/>
  <c r="AD89" i="2"/>
  <c r="AE89" i="2"/>
  <c r="AF89" i="2"/>
  <c r="AD90" i="2"/>
  <c r="AE90" i="2"/>
  <c r="AF90" i="2"/>
  <c r="AD91" i="2"/>
  <c r="AE91" i="2"/>
  <c r="AF91" i="2"/>
  <c r="AD92" i="2"/>
  <c r="AE92" i="2"/>
  <c r="AF92" i="2"/>
  <c r="AD93" i="2"/>
  <c r="AE93" i="2"/>
  <c r="AF93" i="2"/>
  <c r="AD94" i="2"/>
  <c r="AE94" i="2"/>
  <c r="AF94" i="2"/>
  <c r="AD95" i="2"/>
  <c r="AE95" i="2"/>
  <c r="AF95" i="2"/>
  <c r="AD96" i="2"/>
  <c r="AE96" i="2"/>
  <c r="AF96" i="2"/>
  <c r="AD97" i="2"/>
  <c r="AE97" i="2"/>
  <c r="AF97" i="2"/>
  <c r="AD98" i="2"/>
  <c r="AE98" i="2"/>
  <c r="AF98" i="2"/>
  <c r="AD99" i="2"/>
  <c r="AE99" i="2"/>
  <c r="AF99" i="2"/>
  <c r="AD100" i="2"/>
  <c r="AE100" i="2"/>
  <c r="AF100" i="2"/>
  <c r="AD101" i="2"/>
  <c r="AE101" i="2"/>
  <c r="AF101" i="2"/>
  <c r="AD102" i="2"/>
  <c r="AE102" i="2"/>
  <c r="AF102" i="2"/>
  <c r="AD103" i="2"/>
  <c r="AE103" i="2"/>
  <c r="AF103" i="2"/>
  <c r="AD104" i="2"/>
  <c r="AE104" i="2"/>
  <c r="AF104" i="2"/>
  <c r="AD105" i="2"/>
  <c r="AE105" i="2"/>
  <c r="AF105" i="2"/>
  <c r="AD106" i="2"/>
  <c r="AE106" i="2"/>
  <c r="AF106" i="2"/>
  <c r="AD107" i="2"/>
  <c r="AE107" i="2"/>
  <c r="AF107" i="2"/>
  <c r="AD108" i="2"/>
  <c r="AE108" i="2"/>
  <c r="AF108" i="2"/>
  <c r="AD109" i="2"/>
  <c r="AE109" i="2"/>
  <c r="AF109" i="2"/>
  <c r="AD110" i="2"/>
  <c r="AE110" i="2"/>
  <c r="AF110" i="2"/>
  <c r="AD111" i="2"/>
  <c r="AE111" i="2"/>
  <c r="AF111" i="2"/>
  <c r="AD112" i="2"/>
  <c r="AE112" i="2"/>
  <c r="AF112" i="2"/>
  <c r="AD113" i="2"/>
  <c r="AE113" i="2"/>
  <c r="AF113" i="2"/>
  <c r="AD114" i="2"/>
  <c r="AE114" i="2"/>
  <c r="AF114" i="2"/>
  <c r="AD115" i="2"/>
  <c r="AE115" i="2"/>
  <c r="AF115" i="2"/>
  <c r="AD116" i="2"/>
  <c r="AE116" i="2"/>
  <c r="AF116" i="2"/>
  <c r="AD117" i="2"/>
  <c r="AE117" i="2"/>
  <c r="AF117" i="2"/>
  <c r="AD118" i="2"/>
  <c r="AE118" i="2"/>
  <c r="AF118" i="2"/>
  <c r="AD119" i="2"/>
  <c r="AE119" i="2"/>
  <c r="AF119" i="2"/>
  <c r="AD120" i="2"/>
  <c r="AE120" i="2"/>
  <c r="AF120" i="2"/>
  <c r="AD121" i="2"/>
  <c r="AE121" i="2"/>
  <c r="AF121" i="2"/>
  <c r="AD122" i="2"/>
  <c r="AE122" i="2"/>
  <c r="AF122" i="2"/>
  <c r="AD123" i="2"/>
  <c r="AE123" i="2"/>
  <c r="AF123" i="2"/>
  <c r="AD124" i="2"/>
  <c r="AE124" i="2"/>
  <c r="AF124" i="2"/>
  <c r="AD125" i="2"/>
  <c r="AE125" i="2"/>
  <c r="AF125" i="2"/>
  <c r="AD126" i="2"/>
  <c r="AE126" i="2"/>
  <c r="AF126" i="2"/>
  <c r="AD127" i="2"/>
  <c r="AE127" i="2"/>
  <c r="AF127" i="2"/>
  <c r="AD128" i="2"/>
  <c r="AE128" i="2"/>
  <c r="AF128" i="2"/>
  <c r="AD129" i="2"/>
  <c r="AE129" i="2"/>
  <c r="AF129" i="2"/>
  <c r="AD130" i="2"/>
  <c r="AE130" i="2"/>
  <c r="AF130" i="2"/>
  <c r="AD131" i="2"/>
  <c r="AE131" i="2"/>
  <c r="AF131" i="2"/>
  <c r="AD132" i="2"/>
  <c r="AE132" i="2"/>
  <c r="AF132" i="2"/>
  <c r="AD133" i="2"/>
  <c r="AE133" i="2"/>
  <c r="AF133" i="2"/>
  <c r="AD134" i="2"/>
  <c r="AE134" i="2"/>
  <c r="AF134" i="2"/>
  <c r="AD135" i="2"/>
  <c r="AE135" i="2"/>
  <c r="AF135" i="2"/>
  <c r="AD136" i="2"/>
  <c r="AE136" i="2"/>
  <c r="AF136" i="2"/>
  <c r="AD137" i="2"/>
  <c r="AE137" i="2"/>
  <c r="AF137" i="2"/>
  <c r="AD138" i="2"/>
  <c r="AE138" i="2"/>
  <c r="AF138" i="2"/>
  <c r="AD139" i="2"/>
  <c r="AE139" i="2"/>
  <c r="AF139" i="2"/>
  <c r="AD140" i="2"/>
  <c r="AE140" i="2"/>
  <c r="AF140" i="2"/>
  <c r="AD141" i="2"/>
  <c r="AE141" i="2"/>
  <c r="AF141" i="2"/>
  <c r="AD142" i="2"/>
  <c r="AE142" i="2"/>
  <c r="AF142" i="2"/>
  <c r="AD143" i="2"/>
  <c r="AE143" i="2"/>
  <c r="AF143" i="2"/>
  <c r="AD144" i="2"/>
  <c r="AE144" i="2"/>
  <c r="AF144" i="2"/>
  <c r="AD145" i="2"/>
  <c r="AE145" i="2"/>
  <c r="AF145" i="2"/>
  <c r="AD146" i="2"/>
  <c r="AE146" i="2"/>
  <c r="AF146" i="2"/>
  <c r="AD147" i="2"/>
  <c r="AE147" i="2"/>
  <c r="AF147" i="2"/>
  <c r="AD148" i="2"/>
  <c r="AE148" i="2"/>
  <c r="AF148" i="2"/>
  <c r="AD149" i="2"/>
  <c r="AE149" i="2"/>
  <c r="AF149" i="2"/>
  <c r="AD150" i="2"/>
  <c r="AE150" i="2"/>
  <c r="AF150" i="2"/>
  <c r="AD151" i="2"/>
  <c r="AE151" i="2"/>
  <c r="AF151" i="2"/>
  <c r="AD152" i="2"/>
  <c r="AE152" i="2"/>
  <c r="AF152" i="2"/>
  <c r="AD153" i="2"/>
  <c r="AE153" i="2"/>
  <c r="AF153" i="2"/>
  <c r="AD154" i="2"/>
  <c r="AE154" i="2"/>
  <c r="AF154" i="2"/>
  <c r="AD155" i="2"/>
  <c r="AE155" i="2"/>
  <c r="AF155" i="2"/>
  <c r="AD156" i="2"/>
  <c r="AE156" i="2"/>
  <c r="AF156" i="2"/>
  <c r="AD157" i="2"/>
  <c r="AE157" i="2"/>
  <c r="AF157" i="2"/>
  <c r="AD158" i="2"/>
  <c r="AE158" i="2"/>
  <c r="AF158" i="2"/>
  <c r="AD159" i="2"/>
  <c r="AE159" i="2"/>
  <c r="AF159" i="2"/>
  <c r="AD160" i="2"/>
  <c r="AE160" i="2"/>
  <c r="AF160" i="2"/>
  <c r="AD161" i="2"/>
  <c r="AE161" i="2"/>
  <c r="AF161" i="2"/>
  <c r="R3" i="2"/>
  <c r="U3" i="2"/>
  <c r="X3" i="2"/>
  <c r="R4" i="2"/>
  <c r="U4" i="2"/>
  <c r="X4" i="2"/>
  <c r="R5" i="2"/>
  <c r="U5" i="2"/>
  <c r="X5" i="2"/>
  <c r="R6" i="2"/>
  <c r="U6" i="2"/>
  <c r="X6" i="2"/>
  <c r="R8" i="2"/>
  <c r="U8" i="2"/>
  <c r="X8" i="2"/>
  <c r="R9" i="2"/>
  <c r="U9" i="2"/>
  <c r="X9" i="2"/>
  <c r="R10" i="2"/>
  <c r="U10" i="2"/>
  <c r="X10" i="2"/>
  <c r="R11" i="2"/>
  <c r="U11" i="2"/>
  <c r="X11" i="2"/>
  <c r="R12" i="2"/>
  <c r="U12" i="2"/>
  <c r="X12" i="2"/>
  <c r="R13" i="2"/>
  <c r="U13" i="2"/>
  <c r="X13" i="2"/>
  <c r="R14" i="2"/>
  <c r="U14" i="2"/>
  <c r="X14" i="2"/>
  <c r="R15" i="2"/>
  <c r="U15" i="2"/>
  <c r="X15" i="2"/>
  <c r="R16" i="2"/>
  <c r="U16" i="2"/>
  <c r="X16" i="2"/>
  <c r="R17" i="2"/>
  <c r="U17" i="2"/>
  <c r="X17" i="2"/>
  <c r="R18" i="2"/>
  <c r="U18" i="2"/>
  <c r="X18" i="2"/>
  <c r="R19" i="2"/>
  <c r="U19" i="2"/>
  <c r="X19" i="2"/>
  <c r="R21" i="2"/>
  <c r="U21" i="2"/>
  <c r="X21" i="2"/>
  <c r="R22" i="2"/>
  <c r="U22" i="2"/>
  <c r="X22" i="2"/>
  <c r="R23" i="2"/>
  <c r="U23" i="2"/>
  <c r="X23" i="2"/>
  <c r="R24" i="2"/>
  <c r="U24" i="2"/>
  <c r="X24" i="2"/>
  <c r="R25" i="2"/>
  <c r="U25" i="2"/>
  <c r="X25" i="2"/>
  <c r="R26" i="2"/>
  <c r="U26" i="2"/>
  <c r="X26" i="2"/>
  <c r="R27" i="2"/>
  <c r="U27" i="2"/>
  <c r="X27" i="2"/>
  <c r="R28" i="2"/>
  <c r="U28" i="2"/>
  <c r="X28" i="2"/>
  <c r="R29" i="2"/>
  <c r="U29" i="2"/>
  <c r="X29" i="2"/>
  <c r="R30" i="2"/>
  <c r="U30" i="2"/>
  <c r="X30" i="2"/>
  <c r="R31" i="2"/>
  <c r="U31" i="2"/>
  <c r="X31" i="2"/>
  <c r="R32" i="2"/>
  <c r="U32" i="2"/>
  <c r="X32" i="2"/>
  <c r="R33" i="2"/>
  <c r="U33" i="2"/>
  <c r="X33" i="2"/>
  <c r="R34" i="2"/>
  <c r="U34" i="2"/>
  <c r="X34" i="2"/>
  <c r="R36" i="2"/>
  <c r="U36" i="2"/>
  <c r="X36" i="2"/>
  <c r="R42" i="2"/>
  <c r="U42" i="2"/>
  <c r="X42" i="2"/>
  <c r="R43" i="2"/>
  <c r="U43" i="2"/>
  <c r="X43" i="2"/>
  <c r="R44" i="2"/>
  <c r="U44" i="2"/>
  <c r="X44" i="2"/>
  <c r="R45" i="2"/>
  <c r="U45" i="2"/>
  <c r="X45" i="2"/>
  <c r="R47" i="2"/>
  <c r="U47" i="2"/>
  <c r="X47" i="2"/>
  <c r="R49" i="2"/>
  <c r="U49" i="2"/>
  <c r="X49" i="2"/>
  <c r="R52" i="2"/>
  <c r="U52" i="2"/>
  <c r="X52" i="2"/>
  <c r="R53" i="2"/>
  <c r="U53" i="2"/>
  <c r="X53" i="2"/>
  <c r="R54" i="2"/>
  <c r="U54" i="2"/>
  <c r="X54" i="2"/>
  <c r="R55" i="2"/>
  <c r="U55" i="2"/>
  <c r="X55" i="2"/>
  <c r="R57" i="2"/>
  <c r="U57" i="2"/>
  <c r="X57" i="2"/>
  <c r="R58" i="2"/>
  <c r="U58" i="2"/>
  <c r="X58" i="2"/>
  <c r="R59" i="2"/>
  <c r="U59" i="2"/>
  <c r="X59" i="2"/>
  <c r="R60" i="2"/>
  <c r="U60" i="2"/>
  <c r="X60" i="2"/>
  <c r="R61" i="2"/>
  <c r="U61" i="2"/>
  <c r="X61" i="2"/>
  <c r="R62" i="2"/>
  <c r="U62" i="2"/>
  <c r="X62" i="2"/>
  <c r="R63" i="2"/>
  <c r="U63" i="2"/>
  <c r="X63" i="2"/>
  <c r="R64" i="2"/>
  <c r="U64" i="2"/>
  <c r="X64" i="2"/>
  <c r="R65" i="2"/>
  <c r="U65" i="2"/>
  <c r="X65" i="2"/>
  <c r="R67" i="2"/>
  <c r="U67" i="2"/>
  <c r="X67" i="2"/>
  <c r="R68" i="2"/>
  <c r="U68" i="2"/>
  <c r="X68" i="2"/>
  <c r="R70" i="2"/>
  <c r="U70" i="2"/>
  <c r="X70" i="2"/>
  <c r="R71" i="2"/>
  <c r="U71" i="2"/>
  <c r="X71" i="2"/>
  <c r="R72" i="2"/>
  <c r="U72" i="2"/>
  <c r="X72" i="2"/>
  <c r="R73" i="2"/>
  <c r="U73" i="2"/>
  <c r="X73" i="2"/>
  <c r="R74" i="2"/>
  <c r="U74" i="2"/>
  <c r="X74" i="2"/>
  <c r="R75" i="2"/>
  <c r="U75" i="2"/>
  <c r="X75" i="2"/>
  <c r="R76" i="2"/>
  <c r="U76" i="2"/>
  <c r="X76" i="2"/>
  <c r="R77" i="2"/>
  <c r="U77" i="2"/>
  <c r="X77" i="2"/>
  <c r="R78" i="2"/>
  <c r="U78" i="2"/>
  <c r="X78" i="2"/>
  <c r="R79" i="2"/>
  <c r="U79" i="2"/>
  <c r="X79" i="2"/>
  <c r="R80" i="2"/>
  <c r="U80" i="2"/>
  <c r="X80" i="2"/>
  <c r="R81" i="2"/>
  <c r="U81" i="2"/>
  <c r="X81" i="2"/>
  <c r="R82" i="2"/>
  <c r="U82" i="2"/>
  <c r="X82" i="2"/>
  <c r="R83" i="2"/>
  <c r="U83" i="2"/>
  <c r="X83" i="2"/>
  <c r="R84" i="2"/>
  <c r="U84" i="2"/>
  <c r="X84" i="2"/>
  <c r="R85" i="2"/>
  <c r="U85" i="2"/>
  <c r="X85" i="2"/>
  <c r="R86" i="2"/>
  <c r="U86" i="2"/>
  <c r="X86" i="2"/>
  <c r="R87" i="2"/>
  <c r="U87" i="2"/>
  <c r="X87" i="2"/>
  <c r="U88" i="2"/>
  <c r="X88" i="2"/>
  <c r="R89" i="2"/>
  <c r="U89" i="2"/>
  <c r="X89" i="2"/>
  <c r="U90" i="2"/>
  <c r="X90" i="2"/>
  <c r="R91" i="2"/>
  <c r="U91" i="2"/>
  <c r="X91" i="2"/>
  <c r="R92" i="2"/>
  <c r="U92" i="2"/>
  <c r="X92" i="2"/>
  <c r="R93" i="2"/>
  <c r="U93" i="2"/>
  <c r="X93" i="2"/>
  <c r="R94" i="2"/>
  <c r="U94" i="2"/>
  <c r="X94" i="2"/>
  <c r="R96" i="2"/>
  <c r="U96" i="2"/>
  <c r="X96" i="2"/>
  <c r="R97" i="2"/>
  <c r="U97" i="2"/>
  <c r="X97" i="2"/>
  <c r="R98" i="2"/>
  <c r="U98" i="2"/>
  <c r="X98" i="2"/>
  <c r="R99" i="2"/>
  <c r="U99" i="2"/>
  <c r="X99" i="2"/>
  <c r="R100" i="2"/>
  <c r="U100" i="2"/>
  <c r="X100" i="2"/>
  <c r="R101" i="2"/>
  <c r="U101" i="2"/>
  <c r="X101" i="2"/>
  <c r="R102" i="2"/>
  <c r="U102" i="2"/>
  <c r="X102" i="2"/>
  <c r="R103" i="2"/>
  <c r="U103" i="2"/>
  <c r="X103" i="2"/>
  <c r="R104" i="2"/>
  <c r="U104" i="2"/>
  <c r="X104" i="2"/>
  <c r="R105" i="2"/>
  <c r="U105" i="2"/>
  <c r="X105" i="2"/>
  <c r="R106" i="2"/>
  <c r="U106" i="2"/>
  <c r="X106" i="2"/>
  <c r="R107" i="2"/>
  <c r="U107" i="2"/>
  <c r="X107" i="2"/>
  <c r="R108" i="2"/>
  <c r="U108" i="2"/>
  <c r="X108" i="2"/>
  <c r="R109" i="2"/>
  <c r="U109" i="2"/>
  <c r="X109" i="2"/>
  <c r="R110" i="2"/>
  <c r="U110" i="2"/>
  <c r="X110" i="2"/>
  <c r="R111" i="2"/>
  <c r="U111" i="2"/>
  <c r="X111" i="2"/>
  <c r="R112" i="2"/>
  <c r="U112" i="2"/>
  <c r="X112" i="2"/>
  <c r="R113" i="2"/>
  <c r="U113" i="2"/>
  <c r="X113" i="2"/>
  <c r="R114" i="2"/>
  <c r="U114" i="2"/>
  <c r="X114" i="2"/>
  <c r="R115" i="2"/>
  <c r="U115" i="2"/>
  <c r="X115" i="2"/>
  <c r="R116" i="2"/>
  <c r="U116" i="2"/>
  <c r="X116" i="2"/>
  <c r="R117" i="2"/>
  <c r="U117" i="2"/>
  <c r="X117" i="2"/>
  <c r="R118" i="2"/>
  <c r="U118" i="2"/>
  <c r="X118" i="2"/>
  <c r="R119" i="2"/>
  <c r="U119" i="2"/>
  <c r="X119" i="2"/>
  <c r="R120" i="2"/>
  <c r="U120" i="2"/>
  <c r="X120" i="2" s="1"/>
  <c r="R121" i="2"/>
  <c r="U121" i="2"/>
  <c r="X121" i="2"/>
  <c r="R122" i="2"/>
  <c r="U122" i="2"/>
  <c r="X122" i="2"/>
  <c r="R123" i="2"/>
  <c r="U123" i="2"/>
  <c r="X123" i="2"/>
  <c r="R124" i="2"/>
  <c r="U124" i="2"/>
  <c r="X124" i="2"/>
  <c r="R125" i="2"/>
  <c r="U125" i="2"/>
  <c r="X125" i="2"/>
  <c r="R128" i="2"/>
  <c r="U128" i="2"/>
  <c r="X128" i="2"/>
  <c r="R129" i="2"/>
  <c r="U129" i="2"/>
  <c r="X129" i="2"/>
  <c r="R130" i="2"/>
  <c r="U130" i="2"/>
  <c r="X130" i="2"/>
  <c r="R132" i="2"/>
  <c r="U132" i="2"/>
  <c r="X132" i="2"/>
  <c r="R133" i="2"/>
  <c r="U133" i="2"/>
  <c r="X133" i="2"/>
  <c r="R134" i="2"/>
  <c r="U134" i="2"/>
  <c r="X134" i="2"/>
  <c r="R135" i="2"/>
  <c r="U135" i="2"/>
  <c r="X135" i="2"/>
  <c r="R136" i="2"/>
  <c r="U136" i="2"/>
  <c r="X136" i="2"/>
  <c r="R137" i="2"/>
  <c r="U137" i="2"/>
  <c r="X137" i="2"/>
  <c r="R138" i="2"/>
  <c r="U138" i="2"/>
  <c r="X138" i="2"/>
  <c r="R139" i="2"/>
  <c r="U139" i="2"/>
  <c r="X139" i="2"/>
  <c r="R140" i="2"/>
  <c r="U140" i="2"/>
  <c r="X140" i="2"/>
  <c r="R141" i="2"/>
  <c r="U141" i="2"/>
  <c r="X141" i="2"/>
  <c r="R142" i="2"/>
  <c r="U142" i="2"/>
  <c r="X142" i="2"/>
  <c r="R144" i="2"/>
  <c r="U144" i="2"/>
  <c r="X144" i="2"/>
  <c r="R146" i="2"/>
  <c r="U146" i="2"/>
  <c r="X146" i="2"/>
  <c r="R147" i="2"/>
  <c r="U147" i="2"/>
  <c r="X147" i="2"/>
  <c r="R148" i="2"/>
  <c r="U148" i="2"/>
  <c r="X148" i="2"/>
  <c r="R149" i="2"/>
  <c r="U149" i="2"/>
  <c r="X149" i="2"/>
  <c r="R150" i="2"/>
  <c r="U150" i="2"/>
  <c r="X150" i="2"/>
  <c r="R151" i="2"/>
  <c r="U151" i="2"/>
  <c r="X151" i="2"/>
  <c r="R152" i="2"/>
  <c r="U152" i="2"/>
  <c r="X152" i="2"/>
  <c r="R153" i="2"/>
  <c r="U153" i="2"/>
  <c r="X153" i="2"/>
  <c r="R154" i="2"/>
  <c r="U154" i="2"/>
  <c r="X154" i="2"/>
  <c r="R157" i="2"/>
  <c r="U157" i="2"/>
  <c r="X157" i="2"/>
  <c r="R158" i="2"/>
  <c r="U158" i="2"/>
  <c r="X158" i="2"/>
  <c r="R161" i="2"/>
  <c r="U161" i="2"/>
  <c r="X161" i="2"/>
  <c r="P3" i="2"/>
  <c r="P4" i="2"/>
  <c r="P5" i="2"/>
  <c r="P6" i="2"/>
  <c r="P8" i="2"/>
  <c r="P9" i="2"/>
  <c r="P10" i="2"/>
  <c r="P11" i="2"/>
  <c r="P12" i="2"/>
  <c r="P13" i="2"/>
  <c r="P14" i="2"/>
  <c r="P15" i="2"/>
  <c r="P16" i="2"/>
  <c r="P17" i="2"/>
  <c r="P18" i="2"/>
  <c r="P19" i="2"/>
  <c r="P21" i="2"/>
  <c r="P22" i="2"/>
  <c r="P23" i="2"/>
  <c r="P24" i="2"/>
  <c r="P25" i="2"/>
  <c r="P26" i="2"/>
  <c r="P27" i="2"/>
  <c r="P28" i="2"/>
  <c r="P29" i="2"/>
  <c r="P30" i="2"/>
  <c r="P31" i="2"/>
  <c r="P32" i="2"/>
  <c r="P33" i="2"/>
  <c r="P34" i="2"/>
  <c r="P36" i="2"/>
  <c r="P42" i="2"/>
  <c r="P43" i="2"/>
  <c r="P44" i="2"/>
  <c r="P45" i="2"/>
  <c r="P47" i="2"/>
  <c r="P52" i="2"/>
  <c r="P53" i="2"/>
  <c r="P54" i="2"/>
  <c r="P55" i="2"/>
  <c r="P57" i="2"/>
  <c r="P58" i="2"/>
  <c r="P59" i="2"/>
  <c r="P60" i="2"/>
  <c r="P61" i="2"/>
  <c r="P62" i="2"/>
  <c r="P63" i="2"/>
  <c r="P64" i="2"/>
  <c r="P65" i="2"/>
  <c r="P67" i="2"/>
  <c r="P68" i="2"/>
  <c r="P70" i="2"/>
  <c r="P71" i="2"/>
  <c r="P72" i="2"/>
  <c r="P73" i="2"/>
  <c r="P74" i="2"/>
  <c r="P75" i="2"/>
  <c r="P76" i="2"/>
  <c r="P77" i="2"/>
  <c r="P78" i="2"/>
  <c r="P79" i="2"/>
  <c r="P80" i="2"/>
  <c r="P81" i="2"/>
  <c r="P82" i="2"/>
  <c r="P83" i="2"/>
  <c r="P84" i="2"/>
  <c r="P85" i="2"/>
  <c r="P86" i="2"/>
  <c r="P87" i="2"/>
  <c r="P88" i="2"/>
  <c r="P89" i="2"/>
  <c r="P90" i="2"/>
  <c r="P91" i="2"/>
  <c r="P92" i="2"/>
  <c r="P93" i="2"/>
  <c r="P94"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8" i="2"/>
  <c r="P129" i="2"/>
  <c r="P130" i="2"/>
  <c r="P132" i="2"/>
  <c r="P133" i="2"/>
  <c r="P134" i="2"/>
  <c r="P135" i="2"/>
  <c r="P136" i="2"/>
  <c r="P137" i="2"/>
  <c r="P138" i="2"/>
  <c r="P139" i="2"/>
  <c r="P141" i="2"/>
  <c r="P142" i="2"/>
  <c r="P144" i="2"/>
  <c r="P146" i="2"/>
  <c r="P147" i="2"/>
  <c r="P148" i="2"/>
  <c r="P149" i="2"/>
  <c r="P150" i="2"/>
  <c r="P151" i="2"/>
  <c r="P152" i="2"/>
  <c r="P153" i="2"/>
  <c r="P154" i="2"/>
  <c r="P157" i="2"/>
  <c r="P158" i="2"/>
  <c r="P161" i="2"/>
  <c r="K33" i="2"/>
  <c r="K91" i="2"/>
  <c r="K108" i="2"/>
  <c r="H168" i="2"/>
  <c r="P2" i="2"/>
  <c r="AD2" i="2"/>
  <c r="R2" i="2"/>
  <c r="U2" i="2"/>
  <c r="X2" i="2"/>
  <c r="AE2" i="2"/>
  <c r="AF2" i="2"/>
</calcChain>
</file>

<file path=xl/sharedStrings.xml><?xml version="1.0" encoding="utf-8"?>
<sst xmlns="http://schemas.openxmlformats.org/spreadsheetml/2006/main" count="3146" uniqueCount="861">
  <si>
    <t>ORIGEN REPORTE</t>
  </si>
  <si>
    <t>CAUSA</t>
  </si>
  <si>
    <t>ESTADO</t>
  </si>
  <si>
    <t>OPORTUNIDAD (&lt;3 DIAS HABILES)</t>
  </si>
  <si>
    <t>RONDAS</t>
  </si>
  <si>
    <t>UBICACION</t>
  </si>
  <si>
    <t>SERVICIO</t>
  </si>
  <si>
    <t>EQUIPOS</t>
  </si>
  <si>
    <t>PARADA</t>
  </si>
  <si>
    <t>TIPO DE PARADA</t>
  </si>
  <si>
    <t xml:space="preserve">PARADA DEL SERVICIO </t>
  </si>
  <si>
    <t xml:space="preserve">EQUIPO DE CONTINGENCIA </t>
  </si>
  <si>
    <t>EJECUTADO POR</t>
  </si>
  <si>
    <t>ESTADO GMA</t>
  </si>
  <si>
    <t>ESTADO DEL EQUIPO</t>
  </si>
  <si>
    <t>ACCESORIOS NUEVOS?</t>
  </si>
  <si>
    <t>GMA</t>
  </si>
  <si>
    <t>USO INADECUADO</t>
  </si>
  <si>
    <t>EN PROCESO</t>
  </si>
  <si>
    <t>NO FUNCIONAL</t>
  </si>
  <si>
    <t>CONSULTORIO ODONTOLÓGICO</t>
  </si>
  <si>
    <t>ALMACÉN</t>
  </si>
  <si>
    <t>AUTOCLAVE</t>
  </si>
  <si>
    <t>SI</t>
  </si>
  <si>
    <t xml:space="preserve">TOTAL </t>
  </si>
  <si>
    <t xml:space="preserve">SI </t>
  </si>
  <si>
    <t>Victor Lopez</t>
  </si>
  <si>
    <t>📑 SOLICITADO</t>
  </si>
  <si>
    <t>🟢 FUNCIONAL</t>
  </si>
  <si>
    <t>SÍ</t>
  </si>
  <si>
    <t>RONDAS DE SEGURIDAD</t>
  </si>
  <si>
    <t>FALTA DE CONSUMIBLE</t>
  </si>
  <si>
    <t>CERRADO</t>
  </si>
  <si>
    <t>NO EXISTE</t>
  </si>
  <si>
    <t>CONSULTORIO MÉDICO</t>
  </si>
  <si>
    <t>BANCO DE SANGRE</t>
  </si>
  <si>
    <t>TENSIÓMETRO DE PARED</t>
  </si>
  <si>
    <t xml:space="preserve">NO </t>
  </si>
  <si>
    <t>N/A</t>
  </si>
  <si>
    <t>NO</t>
  </si>
  <si>
    <t>Cristian Hurtado</t>
  </si>
  <si>
    <t>⌛ PTE DE RESPUESTA</t>
  </si>
  <si>
    <t>🟡 EN ESPERA DE REPUESTO</t>
  </si>
  <si>
    <t>INADECUADA CONFIGURACIÓN</t>
  </si>
  <si>
    <t>EN ESPERA DE REPUESTO</t>
  </si>
  <si>
    <t>ENFERMERÍA</t>
  </si>
  <si>
    <t>BLOQUE QUIRÚRGICO</t>
  </si>
  <si>
    <t>UNIDAD ODONTOLÓGICA</t>
  </si>
  <si>
    <t>PARCIAL</t>
  </si>
  <si>
    <t>Camilo Ramirez</t>
  </si>
  <si>
    <t>❌ NO ACEPTADO</t>
  </si>
  <si>
    <t>🔴 FUERA DE SERVICIO</t>
  </si>
  <si>
    <t>DESGASTE</t>
  </si>
  <si>
    <t>PENDIENTE COTIZAR</t>
  </si>
  <si>
    <t>OBSERVACION</t>
  </si>
  <si>
    <t>CARDIOLOGÍA</t>
  </si>
  <si>
    <t>REGULADOR DE OXÍGENO</t>
  </si>
  <si>
    <t>Tatiana Salazar</t>
  </si>
  <si>
    <t>⚙ TRABAJANDO</t>
  </si>
  <si>
    <t xml:space="preserve">FALLA INTERNA </t>
  </si>
  <si>
    <t>PENDIENTE VISITA PROVEEDOR</t>
  </si>
  <si>
    <t>PROCEDIMIENTOS</t>
  </si>
  <si>
    <t>CENTRAL DE AIRE MEDICINAL</t>
  </si>
  <si>
    <t>OXIMETRO DE PULSO</t>
  </si>
  <si>
    <t>Leonardo Marín</t>
  </si>
  <si>
    <t>📖 LEÍDO</t>
  </si>
  <si>
    <t xml:space="preserve">FACTOR EXTERNO </t>
  </si>
  <si>
    <t>PENDIENTE</t>
  </si>
  <si>
    <t>REANIMACION</t>
  </si>
  <si>
    <t>CENTRAL DE ESTERILIZACIÓN</t>
  </si>
  <si>
    <t xml:space="preserve">MONITOR DE SIGNOS VITALES </t>
  </si>
  <si>
    <t>David Ospina</t>
  </si>
  <si>
    <t>🤝 CONFIRMADO</t>
  </si>
  <si>
    <t xml:space="preserve">ANTIGUEDAD DE CONSUMIBLE </t>
  </si>
  <si>
    <t>TRASLADADO</t>
  </si>
  <si>
    <t>CONSULTORIO 1</t>
  </si>
  <si>
    <t>CONSULTA EXTERNA</t>
  </si>
  <si>
    <t>EQUIPO DE ÓRGANOS PORTATIL</t>
  </si>
  <si>
    <t>⚠ PTE POR CONFIRMAR</t>
  </si>
  <si>
    <t>DEFECTOS DE FABRICA</t>
  </si>
  <si>
    <t>CONSULTORIO 2</t>
  </si>
  <si>
    <t>HOSPITALIZACIÓN ADULTOS EXPANSIÓN 2° PISO</t>
  </si>
  <si>
    <t>EQUIPO DE ÓRGANOS DE PARED</t>
  </si>
  <si>
    <t>🔄 TRANSFERIDO</t>
  </si>
  <si>
    <t>CONDICIONES DE INFRAESTRUCTURA</t>
  </si>
  <si>
    <t>CONSULTORIO 3</t>
  </si>
  <si>
    <t>HOSPITALIZACIÓN ADULTOS EXPANSIÓN 3° PISO</t>
  </si>
  <si>
    <t>COMPRESOR</t>
  </si>
  <si>
    <t>PÉRDIDA</t>
  </si>
  <si>
    <t>CONSULTORIO 4</t>
  </si>
  <si>
    <t>FARMACIA</t>
  </si>
  <si>
    <t>ESCARIFICADOR DENTAL ULTRASONICO</t>
  </si>
  <si>
    <t>USO EXCESIVO</t>
  </si>
  <si>
    <t>CONSULTORIO 5</t>
  </si>
  <si>
    <t>GASTROENTEROLOGÍA</t>
  </si>
  <si>
    <t>BÁSCULA PEDIÁTRICA</t>
  </si>
  <si>
    <t>ANTIGUEDAD DEL EQUIPO</t>
  </si>
  <si>
    <t>CONSULTORIO 6</t>
  </si>
  <si>
    <t>HOSPITALIZACIÓN GINECO-OBSTETRICIA</t>
  </si>
  <si>
    <t>BÁSCULA DE PISO</t>
  </si>
  <si>
    <t>FALTA DE MANTENIMIENTO</t>
  </si>
  <si>
    <t>CONSULTORIO 7</t>
  </si>
  <si>
    <t>HOSPITALIZACIÓN PEDIATRÍA (Ruta Dorada)</t>
  </si>
  <si>
    <t>TENSIÓMETRO MANUAL</t>
  </si>
  <si>
    <t>TIEMPO DE VIDA ÚTIL</t>
  </si>
  <si>
    <t>CONSULTORIO 8</t>
  </si>
  <si>
    <t>HEMODIÁLISIS</t>
  </si>
  <si>
    <t>GLUCÓMETRO</t>
  </si>
  <si>
    <t>DESCONOCIMIENTO DEL EQUIPO</t>
  </si>
  <si>
    <t>CONSULTORIO 9</t>
  </si>
  <si>
    <t>HOSPITALIZACIÓN PEDIATRÍA</t>
  </si>
  <si>
    <t>BOMBA DE INFUSIÓN</t>
  </si>
  <si>
    <t>NO PRESENTA DAÑO</t>
  </si>
  <si>
    <t>CONSULTORIO 10</t>
  </si>
  <si>
    <t>HOSPITALIZACIÓN ADULTO 5° PISO</t>
  </si>
  <si>
    <t>INCUBADORA</t>
  </si>
  <si>
    <t>DESAJUSTE</t>
  </si>
  <si>
    <t>IMÁGENES DIAGNÓSTICAS</t>
  </si>
  <si>
    <t>NEVERA</t>
  </si>
  <si>
    <t>CUIDADO INTERMEDIO ADULTO</t>
  </si>
  <si>
    <t>VACUTRON</t>
  </si>
  <si>
    <t>CUIDADO INTERMEDIO PEDIÁTRICO</t>
  </si>
  <si>
    <t>CAMA ELÉCTRICA</t>
  </si>
  <si>
    <t>INVENTARIOS</t>
  </si>
  <si>
    <t>FLUJÓMETRO</t>
  </si>
  <si>
    <t>LABORATORIO CLÍNICO</t>
  </si>
  <si>
    <t>PESA BEBÉ/BALANZA PEDIÁTRICA</t>
  </si>
  <si>
    <t>MANTENIMIENTO BIOMÉDICO</t>
  </si>
  <si>
    <t>FONENDOSCOPIO</t>
  </si>
  <si>
    <t>HOSPITALIZACIÓN ADULTO 4° PISO</t>
  </si>
  <si>
    <t>FRONTOLUZ</t>
  </si>
  <si>
    <t>ONCOLOGÍA</t>
  </si>
  <si>
    <t>LARINGOSCOPIO</t>
  </si>
  <si>
    <t>PATOLOGÍA</t>
  </si>
  <si>
    <t>BÁSCULA/PESA</t>
  </si>
  <si>
    <t>CUIDADO INTERMEDIO NEONATAL</t>
  </si>
  <si>
    <t>MESA DE CIRUGÍA</t>
  </si>
  <si>
    <t>PEDIATRÍA EXPANSIÓN</t>
  </si>
  <si>
    <t>ESPIRÓMETRO</t>
  </si>
  <si>
    <t>QUIMIOTERAPIA</t>
  </si>
  <si>
    <t>CALENTADOR DE GEL</t>
  </si>
  <si>
    <t>QUIRÓFANO</t>
  </si>
  <si>
    <t>MONITOR FETAL</t>
  </si>
  <si>
    <t>HOSPITALIZACIÓN QUIRÚRGICAS</t>
  </si>
  <si>
    <t>MÁQUINA DE ANESTESIA</t>
  </si>
  <si>
    <t>REHABILITACIÓN</t>
  </si>
  <si>
    <t>TERMOHIGRÓMETRO</t>
  </si>
  <si>
    <t>TERAPIA RESPIRATORIA</t>
  </si>
  <si>
    <t>LÁMPARA DE CALOR RADIANTE</t>
  </si>
  <si>
    <t>CUIDADO INTENSIVO ADULTO</t>
  </si>
  <si>
    <t>PROCESADOR DE TEJIDOS</t>
  </si>
  <si>
    <t>CUIDADO INTENSIVO PEDIÁTRICO</t>
  </si>
  <si>
    <t>ELECTROCARDIÓGRAFO</t>
  </si>
  <si>
    <t>CUIDADO INTENSIVO NEONATAL</t>
  </si>
  <si>
    <t>CONGELADOR</t>
  </si>
  <si>
    <t>UNIDAD CRÍTICA OBSTÉTRICA</t>
  </si>
  <si>
    <t>LÁMPARA CIELÍTICA</t>
  </si>
  <si>
    <t>URGENCIAS ADULTOS</t>
  </si>
  <si>
    <t>OTROS EQUIPOS BIOMÉDICOS</t>
  </si>
  <si>
    <t>URGENCIAS PEDIATRÍA</t>
  </si>
  <si>
    <t xml:space="preserve">VENTILADOR MECÁNICO </t>
  </si>
  <si>
    <t>LABORATORIO PATOLOGÍA</t>
  </si>
  <si>
    <t xml:space="preserve">DESFIBRILADOR </t>
  </si>
  <si>
    <t>ESTERILIZADOR / AUTOCLAVE</t>
  </si>
  <si>
    <t xml:space="preserve">TENSIÓMETRO DIGITAL </t>
  </si>
  <si>
    <t>INFUSOR</t>
  </si>
  <si>
    <t>CENTRAL DE MONITOREO</t>
  </si>
  <si>
    <t>ESTIMULADOR DE NERVIO PERIFÉRICO</t>
  </si>
  <si>
    <t>MICROSCOPIO</t>
  </si>
  <si>
    <t>BOMBA DE NUTRICIÓN</t>
  </si>
  <si>
    <t>CENTRÍFUGA</t>
  </si>
  <si>
    <t>LÁMPARA DE FOTOTERAPIA</t>
  </si>
  <si>
    <t>ASPIRADOR</t>
  </si>
  <si>
    <t>DOPPLER FETAL</t>
  </si>
  <si>
    <t>No. REPORTE</t>
  </si>
  <si>
    <t>FECHA CREACIÓN DE SOLICITUD</t>
  </si>
  <si>
    <t>EQUIPO</t>
  </si>
  <si>
    <t>MARCA</t>
  </si>
  <si>
    <t>MODELO</t>
  </si>
  <si>
    <t>SERIE</t>
  </si>
  <si>
    <t xml:space="preserve">ACTIVO FIJO </t>
  </si>
  <si>
    <t>UBICACIÓN</t>
  </si>
  <si>
    <t>DESCRIPCIÓN DE DAÑO</t>
  </si>
  <si>
    <t>ACCIÓN REALIZADA</t>
  </si>
  <si>
    <t>FECHA DE ATENCIÓN A LA SOLICITUD</t>
  </si>
  <si>
    <t>ESTADO EN GMA SOPORTE</t>
  </si>
  <si>
    <t>OPORTUNIDAD</t>
  </si>
  <si>
    <t>FECHA DE CIERRE A LA SOLICITUD</t>
  </si>
  <si>
    <t>TIEMPO DE CIERRE A LA SOLICITUD</t>
  </si>
  <si>
    <t>PARADA DEL EQUIPO</t>
  </si>
  <si>
    <t xml:space="preserve">TIPO DE PARADA </t>
  </si>
  <si>
    <t>TIEMPO DE PARADA DEL EQUIPO</t>
  </si>
  <si>
    <t>PARADA DEL SERVICIO</t>
  </si>
  <si>
    <t>EQUIPO DE CONTINGENCIA</t>
  </si>
  <si>
    <t>TIEMPO DE PARA DEL SERVICIO</t>
  </si>
  <si>
    <t>ACCESORIO NUEVO?</t>
  </si>
  <si>
    <t>OBSERVACIONES</t>
  </si>
  <si>
    <t>COMENTARIOS ADICIONALES</t>
  </si>
  <si>
    <t>Tiempo de Oportunidad (horas)</t>
  </si>
  <si>
    <t>Tiempo de Parada(dias)</t>
  </si>
  <si>
    <t>Capacidad_Respuesta (&lt;3_DIA)</t>
  </si>
  <si>
    <t>25655</t>
  </si>
  <si>
    <t>Sala de Partos</t>
  </si>
  <si>
    <t>se solicita revisar doppler fetal de sala de partos, no carga, gracias</t>
  </si>
  <si>
    <t xml:space="preserve">Se realiza revisión del equipo y se encuentra en buenas condiciones funcionales, se verifica estado del cargador y de las baterías y se hacen pruebas funcionales, se retorna al servicio en buenas condiciones. </t>
  </si>
  <si>
    <t>25659</t>
  </si>
  <si>
    <t>se solicita revision de bomba de infusion ubicada en el cuarto de equipos de expansion pediatria ,gracias</t>
  </si>
  <si>
    <t xml:space="preserve">Se revisa equipo y se encuentra en buenas condiciones funcionales, se realiza pruebas con test y se verifican configuraciones y alarmas. </t>
  </si>
  <si>
    <t>25660</t>
  </si>
  <si>
    <t>Stryker</t>
  </si>
  <si>
    <t xml:space="preserve">SV2 </t>
  </si>
  <si>
    <t>571768</t>
  </si>
  <si>
    <t>buenas tardes. se solicita por favor revisar cama que se encuentra en el pasillo del quinto piso ya que no funciona el boton para bajar la parte inferior (pies).</t>
  </si>
  <si>
    <t>Se revisa cama y se encuentra en buenas condiciones funcionales, tenía bloqueo mecánico de los pies, se hacen recomendaciones de uso al personal asistencial. Equipo Ok.</t>
  </si>
  <si>
    <t>25661</t>
  </si>
  <si>
    <t>buena tarde. se solicita revicion de flujometro que se encuentra en el cuarto de equipos. gracias</t>
  </si>
  <si>
    <t xml:space="preserve">Se revisa equipo y se encuentra en buenas condiciones funcionales, se verifica que no haya fugas. Equipo Ok. </t>
  </si>
  <si>
    <t>25663</t>
  </si>
  <si>
    <t>se solicita por favor revisar pulxovimetro de asignacion 2-3 de quinto piso gracias</t>
  </si>
  <si>
    <t>Solicitud repetida, repuestos solicitados</t>
  </si>
  <si>
    <t>N</t>
  </si>
  <si>
    <t>25676</t>
  </si>
  <si>
    <t>Edan</t>
  </si>
  <si>
    <t>M50</t>
  </si>
  <si>
    <t>333123-M13707020019-01</t>
  </si>
  <si>
    <t>buenos dias, se solicita el favor de arreglo o cambio te tensiometro de la estacion 3 de medicina interna.</t>
  </si>
  <si>
    <t>25677</t>
  </si>
  <si>
    <t>buenos dias, se solicita el favor de arreglo o cambio te saturador de la estacion 3 de medicina interna.</t>
  </si>
  <si>
    <t xml:space="preserve">Se revisa monitor y se encuentra daño en sensor de SPO2, no permite reparación, requiere cambio, se inicia proceso de adquisición del repuesto. </t>
  </si>
  <si>
    <t>25680</t>
  </si>
  <si>
    <t>tapa protectora de la valvula exhalatoria del ventilador #3 reventada</t>
  </si>
  <si>
    <t>Se revisa válvula y se encuentra daño en tapa, se procede a realizar el cambio de la tapa y se hacen pruebas funcionales.</t>
  </si>
  <si>
    <t>25688</t>
  </si>
  <si>
    <t>buenos dias por fvaor revisar aire de pared sala 3 gracias</t>
  </si>
  <si>
    <t xml:space="preserve">Se revisa equipo y se encuentra desajuste en manguera y conector de aire, se procede a realizar el ajuste correspondiente y se hacen pruebas funcionales. </t>
  </si>
  <si>
    <t>25702</t>
  </si>
  <si>
    <t>Nihon Kohden</t>
  </si>
  <si>
    <t>TEC-5631</t>
  </si>
  <si>
    <t>01738</t>
  </si>
  <si>
    <t>574600</t>
  </si>
  <si>
    <t>buena tarde se solicita  favor de revisar desfibrilador de la uci pediatrica ya que se estaba usando en codigo y empezo a sonar por bateria a los pocos minutos de desconectarlo</t>
  </si>
  <si>
    <t xml:space="preserve">Se revisa equipo y se haecen pruebas funcionales, el equipo funciona normalmente pero requiere cambio de baterías por cumplimiento de tiempo de vida útil, se inicia proceso de adquisición de repuesto. </t>
  </si>
  <si>
    <t>25713</t>
  </si>
  <si>
    <t>Bng Medical</t>
  </si>
  <si>
    <t>EcoLa 3000</t>
  </si>
  <si>
    <t>A0210518248N</t>
  </si>
  <si>
    <t>buena tarde se solicita reparar incubadora marca bng con activo fijo numero 572798 ubicada en el cubiculo 11 de uci neonatos ya que muestra falla el sensor de temperatura y no calienta , gracia spro su pronta colaboracion ,</t>
  </si>
  <si>
    <t xml:space="preserve">Se revisa el equipo y se enceuntra módulo de sensor de piel desconectado en la base, se procede a realizar el ajuste del conector y se hacen pruebas funcionales, se entrega al servicio en buenas condiciones. </t>
  </si>
  <si>
    <t>25719</t>
  </si>
  <si>
    <t>Harris</t>
  </si>
  <si>
    <t>HLT23U4BBA12</t>
  </si>
  <si>
    <t>T016D66907TD</t>
  </si>
  <si>
    <t>hola, buen dia, se solicita amablemente la revision de la nevera numero 2 ya que esta presenta subidas de temperatura, se necesita refrigerante</t>
  </si>
  <si>
    <t>Se revisa equipo y se realiza procedimiento de nivelación de refrigerante, se realizan pruebas funcionales, equipo Ok</t>
  </si>
  <si>
    <t>25720</t>
  </si>
  <si>
    <t>333123-M14102120051</t>
  </si>
  <si>
    <t>por favor revisar saturador del monitor de signos de estacion 2 ginecologia</t>
  </si>
  <si>
    <t xml:space="preserve">Se revisa equipo y se encuentra daño en conector del sensor al equipo, se procede a reparar el sensor y se realizan pruebas funcionales, se entrega al servicio en buenas condiciones. </t>
  </si>
  <si>
    <t>25721</t>
  </si>
  <si>
    <t>Dometal</t>
  </si>
  <si>
    <t>QUAXAR 131-70</t>
  </si>
  <si>
    <t>3706A45</t>
  </si>
  <si>
    <t>544643</t>
  </si>
  <si>
    <t>cama paciente que no funciona los controles</t>
  </si>
  <si>
    <t xml:space="preserve">Se revisa equipo y se detecta daño en el control de mando del mismo, no permite reparación, por tal motivo se inicia proceso de adquisición de repuesto, a la espera de llegada e instalación.  Soporte duplicado, repuesto solicitado. </t>
  </si>
  <si>
    <t>25723</t>
  </si>
  <si>
    <t>Alpk2</t>
  </si>
  <si>
    <t>NO DEFINIDO</t>
  </si>
  <si>
    <t>buenos días para solicitar revisar tensiómetro del consultorio 10, gracias quedo atenta.</t>
  </si>
  <si>
    <t xml:space="preserve">Se revisa el equipo y se encuentra pera en mal estado, se procede a reparar y se realizan pruebas funcionales, se entrega al servicio en buenas condiciones. </t>
  </si>
  <si>
    <t>25724</t>
  </si>
  <si>
    <t>IM70</t>
  </si>
  <si>
    <t>360080-M17C02250007</t>
  </si>
  <si>
    <t>s se solicita revisar monito de signos vitales en sala de partos, no toma tension arterial, activo fijo #550042</t>
  </si>
  <si>
    <t xml:space="preserve">Se revisa monitor y se encuentra daño en brazalete, se realiza cambio y se entrega uno nuevo al servicio, se realizan pruebas funcionales y se entrega al servicio el equipo en buenas condiciones. </t>
  </si>
  <si>
    <t xml:space="preserve">Se entrega brazalete nuevo adulto 1 vía </t>
  </si>
  <si>
    <t>25727</t>
  </si>
  <si>
    <t>333123-M14102120047-01</t>
  </si>
  <si>
    <t xml:space="preserve">se solicita el favor de revisar oximetro del monitor de signos de la estacion #1 de quirurgicas, s ele revento el resorte de pinza, por lo que se encuentra sujeto con micropore, si funciona y censa  la pulsioximetria. </t>
  </si>
  <si>
    <t xml:space="preserve">Se revisa el equipo y se encuentra daño en sensor de SPO2, se procede a reparar y se hacen pruebas funcionales, se retorna al servicio en buenas condiciones. </t>
  </si>
  <si>
    <t>25732</t>
  </si>
  <si>
    <t>Mindray</t>
  </si>
  <si>
    <t>BENEVIEW T5</t>
  </si>
  <si>
    <t>CM-3B134854</t>
  </si>
  <si>
    <t>cubiculo 221 de uci adultos estacion 2, con termometro y saturador dañados.  se deja termometro en cajon de estacion y saturador de oxigeno en cubiculo</t>
  </si>
  <si>
    <t xml:space="preserve">Se revisa el equipo y se encuentra daño en sensor de temperatura, se inicia proceso de adquisición, pendiente de entrega.  12/03/2026 se entrega sensor de temperatura nuevo al servicio y se hacen pruebas funcionales. Equipo Ok. </t>
  </si>
  <si>
    <t>Se entrega sensor de temperatura nuevo al servicio</t>
  </si>
  <si>
    <t>25738</t>
  </si>
  <si>
    <t>buenos dias por favor revisar sensor de oximetria monitor edan sala 4 gracias</t>
  </si>
  <si>
    <t>25745</t>
  </si>
  <si>
    <t>Comen</t>
  </si>
  <si>
    <t>S5</t>
  </si>
  <si>
    <t>S5230703024</t>
  </si>
  <si>
    <t>por favor revisar urgente carro de paro de la uci que presenta fallas en la realizacion de la prueba en el paso de la fuente de energia</t>
  </si>
  <si>
    <t xml:space="preserve">Se revisa equipo y se encuentra daño en palas de descarga, se procede a solicitar y se inicia proceso de adquisición. equipo fuera de servicio en taller de mantenimiento biomédico hasta entrega de repuesto. </t>
  </si>
  <si>
    <t>25746</t>
  </si>
  <si>
    <t>hola, buen dia, se solicita amablemente la colaboracion para cambiar y/o ajustar la posicion del agitador del plaquetas ya que se encuentra donde no corresponde.</t>
  </si>
  <si>
    <t>se realiza traslado del equipo a nuevo puesto y se hacen pruebas funcionales. Equipo Ok.</t>
  </si>
  <si>
    <t>25756</t>
  </si>
  <si>
    <t>C80</t>
  </si>
  <si>
    <t>K8231030005</t>
  </si>
  <si>
    <t>572055</t>
  </si>
  <si>
    <t>Reanimación</t>
  </si>
  <si>
    <t>se solicita el arreglo del brasalete del monitor de reanimacion que al insuflar se le siente fuga y no toma la presion.</t>
  </si>
  <si>
    <t xml:space="preserve">Se revisa el equipo y se encuentra fuga en brazalete, no permite reparación, se procede a realizar el cambio del brazalete y se entrega uno nuevo al servicio, se realizan pruebas funcionales, equipo ok. </t>
  </si>
  <si>
    <t>Se entrega brazalete 1 vía adulto nuevo al servicio</t>
  </si>
  <si>
    <t>25768</t>
  </si>
  <si>
    <t>iM70</t>
  </si>
  <si>
    <t>360080-M20909270001</t>
  </si>
  <si>
    <t>Consultorio</t>
  </si>
  <si>
    <t>buen dia. por favor revisar saturador de o2 de monitor de signos vitales de consultorio de urgencias adultos, por favor urgente . muchas gracias.</t>
  </si>
  <si>
    <t>25770</t>
  </si>
  <si>
    <t>Los Pinos</t>
  </si>
  <si>
    <t>1060 BC</t>
  </si>
  <si>
    <t>se solicita amablemente de manera prioritaria servicio de mantenimiento para cama ubicada en cubiculo ·# 27 de uci adulto ya que no enciende</t>
  </si>
  <si>
    <t>se revisa cama y se encuentra daño en paneles laterales, se inicia proceso de reparación, requiere reconstrucción de conexiones electrónicas internas del panel y revisión del módulo principal. en taller de mantenimiento biomédico a la espera de reparación.</t>
  </si>
  <si>
    <t>25783</t>
  </si>
  <si>
    <t>valvula draguer  con mal funcionamiento( marca fuga)</t>
  </si>
  <si>
    <t xml:space="preserve">Se revisa válvula y se encuentra fuga en vaso de trampa de agua, se procede a realizar el cambio de la trampa y se hacen pruebas funcionales, equipo ok. </t>
  </si>
  <si>
    <t>25785</t>
  </si>
  <si>
    <t>SV-300</t>
  </si>
  <si>
    <t>GR-98010197</t>
  </si>
  <si>
    <t>pántalla de ventilador # 2 mindray bloqueado   en sala de reanimacion urgencias adulto.   de carácter urgente.</t>
  </si>
  <si>
    <t xml:space="preserve">Se revisa el equipo y se encuentra bloqueo en pantalla, se procede a desbloquear y se realizan pruebas funcionales, se entrega al servicio en buenas condiciones. </t>
  </si>
  <si>
    <t>25789</t>
  </si>
  <si>
    <t>buenas tardes, se realiza soporte de flujometro descalibrado</t>
  </si>
  <si>
    <t xml:space="preserve">Se revisa equipo y se encuentra dentro de los parámetros normales de funcionamiento, se realiza chequeo de fugas, equipo ok. </t>
  </si>
  <si>
    <t>25795</t>
  </si>
  <si>
    <t>333123-M14102120024-01</t>
  </si>
  <si>
    <t>buenas tardes favor revisar el oximetro del monitor af545692</t>
  </si>
  <si>
    <t xml:space="preserve">Se revisa el equipo y se encuentra daño en sensor de SPO2, no permite reparación, se procede a realizar cambio de sensor, se realizan pruebas funcionales y se entrega al servicio en buenas condiciones. </t>
  </si>
  <si>
    <t>Se entrega sensor de SPO2 nuevo al servicio SN:FD202510280920413</t>
  </si>
  <si>
    <t>25800</t>
  </si>
  <si>
    <t>buenos dias, en el servicio de obs hombres no deja registrar oxigenos, muchas gracisa</t>
  </si>
  <si>
    <t xml:space="preserve">Se revisa equipo y se encuentra en buenas condiciones funcionales. </t>
  </si>
  <si>
    <t>25829</t>
  </si>
  <si>
    <t>Adc</t>
  </si>
  <si>
    <t>ADSCOPE-LITE REF:609BK</t>
  </si>
  <si>
    <t>NA</t>
  </si>
  <si>
    <t>buena tar de se solicita el favor de arreglar la oliva del fonendoscopio del cubiculo 3 de la uci pediatrica muchas gracias</t>
  </si>
  <si>
    <t xml:space="preserve">Se revisa equipo y se encuentra daño en oliva, se procede a realizar el cambio y se hacen pruebas funcionales, se retorna al servicio en buenas condiciones. </t>
  </si>
  <si>
    <t>25839</t>
  </si>
  <si>
    <t>Draeger</t>
  </si>
  <si>
    <t>VISTA 120 S</t>
  </si>
  <si>
    <t>S2SNF4421</t>
  </si>
  <si>
    <t>favor revisar sensor de temperatura del monitor de la temperatura de la cama n.6 uci neonatos</t>
  </si>
  <si>
    <t xml:space="preserve">Se revisa equipo y se encuentra sensor de temperatura en mal estao, se procede a cambiar y se realizan pruebas funcionales. Equipo ok. </t>
  </si>
  <si>
    <t>25845</t>
  </si>
  <si>
    <t>572058</t>
  </si>
  <si>
    <t>buenos dias solicito soporte tecnico para el saturador del monitor de signos vitales de expansion hombres, muchas gracias</t>
  </si>
  <si>
    <t>25846</t>
  </si>
  <si>
    <t>buenos dias solicito soporte tecnico para el termometro de expansion hombres ya que no prende, muchas gracias</t>
  </si>
  <si>
    <t xml:space="preserve">Se revisa el equipo y se encuentra en buenas condiciones funcionales, se verifica estado de las baterías y el display, equipo ok. </t>
  </si>
  <si>
    <t>25855</t>
  </si>
  <si>
    <t>se solicita revisar tensiometro manual del consultorio 10 ya que se observa dañado consulta externa segundo piso de manera ugenteeee ya que se estamos en consulta muchas gracias</t>
  </si>
  <si>
    <t>25856</t>
  </si>
  <si>
    <t>buenos dias se reporta cama del cubiculo 15 no permite subir la cabecera.</t>
  </si>
  <si>
    <t xml:space="preserve">Se revisa cama y se encuentra daño en motor de cabecera, se procede a realizar el cambio del motor y se hacen pruebas funcionales, se entrega al servicio en buenas condiciones. </t>
  </si>
  <si>
    <t>25861</t>
  </si>
  <si>
    <t>333123-M14102120001</t>
  </si>
  <si>
    <t>545697</t>
  </si>
  <si>
    <t>por favor cambiar brazalete de monitor de signos de activo fijo 545697 presenta fuga</t>
  </si>
  <si>
    <t>Se revisa equipo y se encuentra fuga en brazalete, no permite reparación, se procede a realizar el cambio y se entrega uno nuevo al servicio, se realizan pruebas funcionales. Equipo -ok</t>
  </si>
  <si>
    <t>25863</t>
  </si>
  <si>
    <t>360080-M20909270003</t>
  </si>
  <si>
    <t>buenos dias se monta soporte para pulso oximetro sala de partos con activo fijo 573330</t>
  </si>
  <si>
    <t>Se revisa equipo y se encuentra daño en sensor de SPO2, no permite reparación, se procede a realizar el cambio y se entrega uno nuevo al servicio, se realizan pruebas funcionales. Equipo -ok</t>
  </si>
  <si>
    <t>Se realiza entrega de sensor de SPO2 adulto nuevo al servicio con serie: FD202510280920416</t>
  </si>
  <si>
    <t>25865</t>
  </si>
  <si>
    <t>333123-M13707020049-01</t>
  </si>
  <si>
    <t>545372</t>
  </si>
  <si>
    <t>buenos días, se realiza revisión del monitor de signos vitales, efectuando el cambio del brazalete por uno nuevo con el código 24537.</t>
  </si>
  <si>
    <t>25867</t>
  </si>
  <si>
    <t>333123-M13707020064-01</t>
  </si>
  <si>
    <t>545367</t>
  </si>
  <si>
    <t>buenos dias, se solicita el favor de arreglo de oximetro de la estacion 2 del 5to piso, no funciona.</t>
  </si>
  <si>
    <t>Se revisa equipo y se encuentra daño en sensor de SPO2, no permite reparación, se procede a realizar el cambio del sensor y se entrega uno nuevo al servicio, se realizan pruebas funcionales. Equipo Ok</t>
  </si>
  <si>
    <t>Se realiza entrega de sensor de SPO2 adulto nuevo al servicio con serie: FD202510280920499</t>
  </si>
  <si>
    <t>25868</t>
  </si>
  <si>
    <t>333123-M13707020054-01</t>
  </si>
  <si>
    <t>545371</t>
  </si>
  <si>
    <t>buenos dias, se solicita el favor de arreglo de oximetro de la estacion 3 del 5to piso, no funciona.</t>
  </si>
  <si>
    <t xml:space="preserve">Se revisa monitor y se encuentra sensor de SPO2 en buenas condiciones funcionales, se verifica accesorios y configuración, equipo ok. </t>
  </si>
  <si>
    <t>25871</t>
  </si>
  <si>
    <t>CM-5C147332</t>
  </si>
  <si>
    <t>por favor revisar termometro  del monotor    cama  6</t>
  </si>
  <si>
    <t xml:space="preserve">Se revisa el equipo y se encuentra sensor de temperatura en mal estado, se procede a realizar el cambio del mismo y se entrega uno nuevo al servicio, se realizan pruebas funcionales. Equipo ok. </t>
  </si>
  <si>
    <t>Se realiza entrega de sensor de temperatura nuevo al servicio</t>
  </si>
  <si>
    <t>25887</t>
  </si>
  <si>
    <t>Philips</t>
  </si>
  <si>
    <t>HEARTSTART XL+</t>
  </si>
  <si>
    <t>USD1203888</t>
  </si>
  <si>
    <t>545108</t>
  </si>
  <si>
    <t>desfibrilador no imprime al momento de la monitorizacion y cardioversion del paciente,y aparte la puerta donde se almacena royo para ekg se encuentra dañada</t>
  </si>
  <si>
    <t xml:space="preserve">Se revisa equipo y se encuentra falla en batería, cable de ecg e impresora, ya está en proceso de adquisición, se cierra soporte ya que está duplicado. </t>
  </si>
  <si>
    <t>25890</t>
  </si>
  <si>
    <t>23056864</t>
  </si>
  <si>
    <t>buen dia se solicita colaboracion para revisar bomba de unfusion ubicada en pediatria salas cuarto de equipos por mal funcionamiento.</t>
  </si>
  <si>
    <t xml:space="preserve">Se revisa equipo y se encuentra daño en mecanismo por el ingreso de líquidos, equipo fuera de servicio hasta reemplazo del mecanismo. </t>
  </si>
  <si>
    <t>25891</t>
  </si>
  <si>
    <t>21397368</t>
  </si>
  <si>
    <t>se solicicta revision de bomba de infusion la cual dice aire distal negativo y bateria baja</t>
  </si>
  <si>
    <t xml:space="preserve">Se revisa equipo por parte del proveedor icu medical y se encuentra daño en puerta, se reemplaza, se reemplaza batería y sensores de presión. Se entrega al servicio en buenas condiciones. </t>
  </si>
  <si>
    <t>25909</t>
  </si>
  <si>
    <t>pulsioximetro del monitor el cubiculo 26 dañado.</t>
  </si>
  <si>
    <t>Se revisa el equipo y se encuentra daño en sensor de SPO2 adulto, se procede a reparar el sensor y se realizan pruebas funcionales, equipo ok.</t>
  </si>
  <si>
    <t>Se entrega sensor de SPO2 nuevo al servicio con número de serie; FD202510280920417</t>
  </si>
  <si>
    <t>25911</t>
  </si>
  <si>
    <t>cordial saludo, deseo informar sobre el fallo que aparece en el panel de la incubadora bng con activo fijo 572798 (fallo en sensor 3, temperatura de aire baja), muchas gracias por su colaboración y pronta respuesta.</t>
  </si>
  <si>
    <t xml:space="preserve">Se revisa equipo y se encuentra daño en módulo de temperatura, se procede a realizar el cambio del módulo y se realizan pruebas funcionales, se entrega al servicio en buenas condiciones. </t>
  </si>
  <si>
    <t>25915</t>
  </si>
  <si>
    <t>740 S V.07</t>
  </si>
  <si>
    <t>cuna del cubiculo 5 de la uci pediatria no prende el control.</t>
  </si>
  <si>
    <t xml:space="preserve">Se revisa cama y se encuentra desajuste en fusible de alimentación de la caja de control, se realiza el ajuste y se hacen pruebas funcionales, se entrega al servicio en buenas condiciones. </t>
  </si>
  <si>
    <t>25919</t>
  </si>
  <si>
    <t>Fogel</t>
  </si>
  <si>
    <t>FRSTEL CC-7</t>
  </si>
  <si>
    <t>se solicita revision de la nevera del servicio farmaceutico debido a que esta soltando agua., la temperatura se observa</t>
  </si>
  <si>
    <t>Se revisa equipo y se encuentra taponamiento, se realiza corrección de falla en el desague y se hacen pruebas funcionales. Equipo Ok.</t>
  </si>
  <si>
    <t>25921</t>
  </si>
  <si>
    <t>33123-M15907420043-01</t>
  </si>
  <si>
    <t>572658</t>
  </si>
  <si>
    <t>buenos dias se solicita por favor revision de monitor de transporte de la uci adultos  ya que no cuenta con saturador, gracias.</t>
  </si>
  <si>
    <t xml:space="preserve">Se revisa el equipo y se encuentra daño en sensor de SPO2 adulto, no permite reparación, se procede a realizar el cambio y se entrega uno nuevo al servicio, se realizan pruebas funcionales, equipo ok. </t>
  </si>
  <si>
    <t>25930</t>
  </si>
  <si>
    <t>HLT 23 VPF</t>
  </si>
  <si>
    <t>HLT23V30PFABA</t>
  </si>
  <si>
    <t>hola, buen dia, se solicita amablemente la revision de la puerta de uno de los congeladores (#1) del area de neveras ya que este se evidencia la salida de un caucho el cual no cierra y por ende no congela</t>
  </si>
  <si>
    <t xml:space="preserve">Se revisa equipo y se encuentra desgaste en empaque principal de la puerta, se realiza el ajuste y el equipo queda en buenas condiciones funcionales, se recomienda cambio de empaque. </t>
  </si>
  <si>
    <t>25935</t>
  </si>
  <si>
    <t>IM8</t>
  </si>
  <si>
    <t>360001/M19910220035</t>
  </si>
  <si>
    <t>buenas tardes porfavor para hacerle mantenimiento al monitor de urgencias pediatria, gracias</t>
  </si>
  <si>
    <t xml:space="preserve">Se revisa el equipo y se encuentra en buenas condciones funcionales, se verifica estado de los accesorios y las configuraciones y se realizan pruebas funcionales, se retorna al servicio en buenas condiciones. </t>
  </si>
  <si>
    <t>25937</t>
  </si>
  <si>
    <t>17950987</t>
  </si>
  <si>
    <t>buenas tardes solicito revision de bomba de infusion ubicada en pasillo  consecutivo 17950987 presenta un mensaje de bateria agotada aun estado conectada a la luz gracias</t>
  </si>
  <si>
    <t xml:space="preserve">Se revisa equipo por parte del proveedor y se encuentra falla en batería, se procede a realizar el cambio y se hacen pruebas funcionales, se retorna al servicio en buenas condiciones. </t>
  </si>
  <si>
    <t>25957</t>
  </si>
  <si>
    <t>flujometro de sala de observacion hombres con fecha de calibracion 2025-10-10 ( m0971025) no funciona.</t>
  </si>
  <si>
    <t xml:space="preserve">Se revisa equipo y se encuentra desajuste en válvula reguladora, se procede a realizar el ajuste y se hacen pruebas funcionales, se entrega en buenas condiciones. </t>
  </si>
  <si>
    <t>25958</t>
  </si>
  <si>
    <t>360080-M20912910010</t>
  </si>
  <si>
    <t>no fiunciona tensiometro monitor cama 12</t>
  </si>
  <si>
    <t xml:space="preserve">Se revisa el equipo y se enceuntra fuga en manguera de nibp, se procede a cortar la manguera para eliminar la fuga, se realizan pruebas funcionales y se deja en buenas condiciones en el servicio. </t>
  </si>
  <si>
    <t>25971</t>
  </si>
  <si>
    <t>por medio de la presente se realiza solicitud para revisión del monitor de signos vitales del cubículo 12 de intermedios adultos dado que no censa presión arterial.</t>
  </si>
  <si>
    <t>25980</t>
  </si>
  <si>
    <t>21397525</t>
  </si>
  <si>
    <t>buenos dias se solicita revisar bomba de infusion estacion 2 de enfermeria tercer piso quirurgicas dice: no se reconoce cassette gracias</t>
  </si>
  <si>
    <t xml:space="preserve">Se revisa equipo por parte del proveedor icu medical y se realiza cambio de fluid shield, se realizan pruebas funcionales y se retorna al servicio en buenas condiciones. </t>
  </si>
  <si>
    <t>26022</t>
  </si>
  <si>
    <t>CM-3B134868</t>
  </si>
  <si>
    <t>buenos dia se solicita por favor revision de censor de temperatura del cubiculo 25 de la uci adultos el cual se observa partido, queda en la estacion 2 de enfermeria, gracias.</t>
  </si>
  <si>
    <t>Se revisa equipo y se encuentra sensor de temperatura en mal estado, no permite reparación, se procede a realizar el cambio del mismo y se entrega uno nuevo al servicio, se realizan pruebas funcionales. Equipo Ok.</t>
  </si>
  <si>
    <t>26023</t>
  </si>
  <si>
    <t>hola buen dia se reporta pulsoximetro de monitor de signos estacion 3 de ginecologia , esta soltandose de los borden por favor para revisarlo antes de que se dañe gracias</t>
  </si>
  <si>
    <t>Se revis aequipo y se encuentra carcasa del sensor de SPO2 en mal estado, se procede a cambiar la carcasa y se realizan pruebas funcionales. Equipo Ok.</t>
  </si>
  <si>
    <t>26027</t>
  </si>
  <si>
    <t>Sala #3</t>
  </si>
  <si>
    <t>buenos dias se coloca soporte para arreglar urgente tergohigometro de la sala 3 del quirofano. muchas gracias</t>
  </si>
  <si>
    <t xml:space="preserve">Se revisa equipo y se encuentra desajuste en pantalla, por lo cuál no mostraba ningún número, se procede a realizar el ajuste correspondiente y se hacen pruebas funcionales, se retorna al servicio en buenas condiciones. </t>
  </si>
  <si>
    <t>26028</t>
  </si>
  <si>
    <t>solicito de toda su colaboración con la acomodación  del monitor de urgencias pasillos el cual se encuentra  mal instalado en el soporte  lo que genera incomodidad, y riesgo ya que  todas la auxiliares intentan acomodarlo</t>
  </si>
  <si>
    <t xml:space="preserve">Se revisa equipo y se encuentra desajuste en base soporte, se procede a realizar el ajuste mecánico correspondiente, se entrega en buenas condiciones. </t>
  </si>
  <si>
    <t>26031</t>
  </si>
  <si>
    <t>Benq</t>
  </si>
  <si>
    <t>DR MAX 7000S</t>
  </si>
  <si>
    <t>2A295-W1-0005</t>
  </si>
  <si>
    <t>572148</t>
  </si>
  <si>
    <t>buenos dias se coloca soporte para arreglar mesa quirurgica benq botando aceite del quirofano. muchas gracias</t>
  </si>
  <si>
    <t xml:space="preserve">Se revisa equipo y se encuentra fuga en circuito hidráulico, aún sin identificar el sitio exacto, equipo se encuentra en taller de mantenimiento biomédico hasta su reparación, </t>
  </si>
  <si>
    <t>26035</t>
  </si>
  <si>
    <t>favor revisar incubadora activo fijo n. 572798 ya que dice modulo de temperatura mal gracias</t>
  </si>
  <si>
    <t>Se revisa el equipo y se encuentra daño en módulo del sensor de temperatura, se procede a realizar el cambio de módulo y se hacen pruebas funcionales, se entrega en buenas condiciones al servicio</t>
  </si>
  <si>
    <t>26036</t>
  </si>
  <si>
    <t>Atom</t>
  </si>
  <si>
    <t>AIR INCU I 62060</t>
  </si>
  <si>
    <t>favor revisar incubadora activo fijo n. 574288 para revisar alarma del ventilador</t>
  </si>
  <si>
    <t xml:space="preserve">Se revisa el equipo y se encuentra daño en motor del ventilador, se procede a realizar el cambio del motor y se hacen pruebas funcionales, se retorna al servicio en buenas condiciones. </t>
  </si>
  <si>
    <t>26049</t>
  </si>
  <si>
    <t>CM-42136410</t>
  </si>
  <si>
    <t>favor cambiar sensor de temperatura monitor activo fijo 545782</t>
  </si>
  <si>
    <t xml:space="preserve">Se realiza revisión del equipo y se encuentra sensor de temperatura en malas condiciones, no permite reparación, se procede a cambiar y se entrega uno nuevo al servicio, se realizan pruebas funcionales, equipo OK. </t>
  </si>
  <si>
    <t>26057</t>
  </si>
  <si>
    <t>revision o reparacion de oximetro gracias</t>
  </si>
  <si>
    <t xml:space="preserve">Se revisa el equipo y se encuentra daño en sensor de SPO2, no permite reparación, se procede a entregar sensor nuevo al servicio, se realizan pruebas funcionales, equipo OK. </t>
  </si>
  <si>
    <t>26058</t>
  </si>
  <si>
    <t>buenas tardes, por medio de la presente solicito la revisión del ventilador mecánico draguer s300 que se encuentra en el cubículo 29, presenta fallo con la monitorización y medición de pplat. al realizar la maniobra de pausa inspiratoria para la medicion de la pplat, el equipo no registra el valor esperado. gracias quedamos atentos ya que es de suma importancia este parametro.</t>
  </si>
  <si>
    <t xml:space="preserve">Se trata de retirar el equipo para ser revisado por el proveedor pero este se encuentra conectado a paciente al momento, se le informa al personal asistencial de terapia respiratoria que por favor avisen al momento en el que el equipo esté disponible para su revisión. </t>
  </si>
  <si>
    <t>26063</t>
  </si>
  <si>
    <t xml:space="preserve">por medio de la presente solicito cambio del brazalete del cubiculo 9 de intermedios adultos el cual se encuentra en deficientes condiciones de funcionamiento </t>
  </si>
  <si>
    <t xml:space="preserve">Se revisaequipo y se encuentra fuga en brazalete, no permite reparación, se procede a instalar brazalete nuevo y se hacen pruebas funcionales, equipo -ok. </t>
  </si>
  <si>
    <t xml:space="preserve">Se emtrega brazalete 1 vía adulto nuevo al servicio </t>
  </si>
  <si>
    <t>26067</t>
  </si>
  <si>
    <t>buenas, por favor revisar pulsioxímetro ya que no esta funcionando, gracias.</t>
  </si>
  <si>
    <t xml:space="preserve">Se entrega sensor de SPO2 Nuevo al servicio </t>
  </si>
  <si>
    <t>26073</t>
  </si>
  <si>
    <t>360080-M20709360014</t>
  </si>
  <si>
    <t>572670</t>
  </si>
  <si>
    <t>Ambulancia</t>
  </si>
  <si>
    <t>se solicita amablemente realizar revision del saturador del monitor de la ambulancia medicalizada ove 421 el cual esta presentando fallas.</t>
  </si>
  <si>
    <t>26078</t>
  </si>
  <si>
    <t>maquina ak98 de la unidad de hemodialisis numero 5 se encuentra con error al iniciar se le informa al ingeniero</t>
  </si>
  <si>
    <t xml:space="preserve">Se revisa llamado y se verifica visita correctiva por parte del proveedor, equipo en buenas condiciones funcionales. </t>
  </si>
  <si>
    <t>26101</t>
  </si>
  <si>
    <t>CM-3B134857</t>
  </si>
  <si>
    <t>Cubículo #37</t>
  </si>
  <si>
    <t>se solicita revisar pulso/oximetro del cubiculonro 37 activo fijo 545483</t>
  </si>
  <si>
    <t>Se revisa equipo y se encuentra daño en sensor de SPO2, no permite reparación, se procede a realizar el cambio y se entrega uno nuevo al servicio. equipo Ok.</t>
  </si>
  <si>
    <t>Se entrega sensor de SPO2 adulto nuevo al servicio con SN:FD202510280930174</t>
  </si>
  <si>
    <t>26102</t>
  </si>
  <si>
    <t>CM-3B134862</t>
  </si>
  <si>
    <t>favor cambiar cable de ekg monitor sinos vitales cama # 21</t>
  </si>
  <si>
    <t>Se revisa equipo y se encuentra daño en cable de ecg, no permite reparación, se procede a realizar el cambio del cable y se entrega uno nuevo al servicio, se realizan pruebas funcionales, equipo Ok.</t>
  </si>
  <si>
    <t>Se entrega cable de ECG de 5 derivadas nuevo al servicio.</t>
  </si>
  <si>
    <t>26112</t>
  </si>
  <si>
    <t>360001/M19910220036</t>
  </si>
  <si>
    <t>buenos dias  favor revisar el pulsioximetro de hematologia tercer piso que se encuentra fallando. muchas gracias.</t>
  </si>
  <si>
    <t xml:space="preserve">Se revisa equipo y se encuentra daño en sensor de SPO2, no permite reparación, se procede a realizar el cambio del sensor y se hacen pruebas funcionales, se retorna al servicio en buenas condiciones. </t>
  </si>
  <si>
    <t>26114</t>
  </si>
  <si>
    <t>buenos dia, se solicita el favor de revisión de monitor de la estación 2 del 5to piso, no esta funcionando.</t>
  </si>
  <si>
    <t>Se revisa equipo y se encuentra daño en sensor de SPO2, no permite reparación, así como daño en brazalete adulto 1 vía, se procede a realizar el cambio de ambos elementos y se entregan nuevos al servicio, se realizan pruebas funcionales. Equipo Ok.</t>
  </si>
  <si>
    <t>Se realiza entrega de 1 brazalete adulto 1 vía nuevo así como 1 sensor de SPO2 nuevo con número de serie FD202510280920425</t>
  </si>
  <si>
    <t>26130</t>
  </si>
  <si>
    <t>360001/M19910220009</t>
  </si>
  <si>
    <t>buenas tardes, se solicita el favor de arreglo de agarradera de monitor de signos de la estacion 1 del 5to piso, se despego, esta en la coordinacion de medicina  interna.</t>
  </si>
  <si>
    <t xml:space="preserve">Se revisa equipo y se encuentra daño en agarre del mismo, no afecta en su funcionamiento, pendiente reparación del soporte. </t>
  </si>
  <si>
    <t>26131</t>
  </si>
  <si>
    <t>SE-3</t>
  </si>
  <si>
    <t>309025-M12B03200011</t>
  </si>
  <si>
    <t>buenas tardes, se solicita el favor de arreglo del electro del 5to piso, no funciona.</t>
  </si>
  <si>
    <t>Se revisa equipo y se hacen pruebas funcionales con simulador de paciente, el equipo se encuentra en buenas condciones. Equipo Ok.</t>
  </si>
  <si>
    <t>26137</t>
  </si>
  <si>
    <t>cronometro no enciende.</t>
  </si>
  <si>
    <t xml:space="preserve">Se revisa el equipo y se encuentra daño en tarjeta electrónica principal, no permite reparación, se recomienda dar de baja. </t>
  </si>
  <si>
    <t>26143</t>
  </si>
  <si>
    <t>17950900</t>
  </si>
  <si>
    <t>bomba de infusion  cuando enciende se queda en blanco</t>
  </si>
  <si>
    <t xml:space="preserve">Se revisa equipo y se encuentra pantalla en blanco, queda en taller de mantenimiento biomédico a la espera de ser revisado por el proveedor icu medical. </t>
  </si>
  <si>
    <t>26144</t>
  </si>
  <si>
    <t>monitor de signos vitales no funciona el oximetro</t>
  </si>
  <si>
    <t xml:space="preserve">Se revisa equipo y se encuentra en buenas condiciones funcionales, se verifica estado de los accesorios y configuración, equipo ok. </t>
  </si>
  <si>
    <t>26148</t>
  </si>
  <si>
    <t>CM-3B134861</t>
  </si>
  <si>
    <t>el termometro del monitor de signos vitales del cubiculo 27 de la uci adultos y del cubiculo  26 de la uci adultos</t>
  </si>
  <si>
    <t>Se revisa equipo y se encuentra daño en sensor de temperatura del equipo, no permite reparación, se procede a entregar sensor de temperatura nuevo al servicio y se realizan pruebas funcionales. equipo Ok</t>
  </si>
  <si>
    <t>26149</t>
  </si>
  <si>
    <t>572688</t>
  </si>
  <si>
    <t>caucho del brazalete de cubiculo 206 de intermedios adultos se encuentra dañado</t>
  </si>
  <si>
    <t xml:space="preserve">Se revisa equipo y se encuentra daño en brazalete, no permite reparación, se entrega brazalete nuevo al servicio y se hacen pruebas funcionales, equipo ok. </t>
  </si>
  <si>
    <t>26152</t>
  </si>
  <si>
    <t>SE-601C</t>
  </si>
  <si>
    <t>360251-M19A03670005</t>
  </si>
  <si>
    <t>buenos dias, favor cambiar una chupa del ekg que no tiene el tornillito, muchas gracias</t>
  </si>
  <si>
    <t xml:space="preserve">Se revisa el equipo y se encuentra en buenas condiciones funcionales, se verifica el estado de los accesorios y se hacen pruebas funcionales. equipo Ok. </t>
  </si>
  <si>
    <t>26161</t>
  </si>
  <si>
    <t>Supernordico</t>
  </si>
  <si>
    <t>14-E0386</t>
  </si>
  <si>
    <t>546082</t>
  </si>
  <si>
    <t>buena noche, por la cual se solicita revicion de nevera de cuarto de medicacmento estacion 1 medicina interna, de manera prioritaria, por presentar alteraciones en la temperatura lo que genera perdida de cadena de frio y consecuencias desfavorables. muchas gracias.</t>
  </si>
  <si>
    <t xml:space="preserve">Se revisa equipo y se encuentra falla por obstrucción de sistema de la unidad por una bolsa plástica, se procede a retirar la bolsa y se hacen pruebas funcionales, equipo en buenas condiciones. </t>
  </si>
  <si>
    <t>26165</t>
  </si>
  <si>
    <t>0316</t>
  </si>
  <si>
    <t>ventilador drager #2 con mando rotatorio suelto</t>
  </si>
  <si>
    <t xml:space="preserve">Se revisa equipo y se encuentra daño en soporte del mando giratorio, requiere reparación de carcasa, se baja al taller de mantenimiento biomédico para ser reparado, a la espera de reconstrucción de piezas fracturadas. </t>
  </si>
  <si>
    <t>26195</t>
  </si>
  <si>
    <t>TEC-5631E</t>
  </si>
  <si>
    <t>01778</t>
  </si>
  <si>
    <t>574610</t>
  </si>
  <si>
    <t>Gastroenterología</t>
  </si>
  <si>
    <t xml:space="preserve">cordial saludo solicito su amable colaboración con el desfibrilador de gastroenterología, el cual se encuentra ubicado en el 1 piso de consulta externa área de gastroenterología. </t>
  </si>
  <si>
    <t xml:space="preserve">Se revisa el equipo y se encuentra en buenas condiciones funcionales, se realiza test de funcionamiento completo y se le dan recomendaciones al personal asistencial. equipo ok. </t>
  </si>
  <si>
    <t>26196</t>
  </si>
  <si>
    <t>360080-M20912910028</t>
  </si>
  <si>
    <t>572683</t>
  </si>
  <si>
    <t>favor colocar oximetro para monitor de transporte con # de activo fijo 572683.</t>
  </si>
  <si>
    <t>Se entrega sensor de SPO2 nuevo al servicio con número de serie; FD202510280920405</t>
  </si>
  <si>
    <t>26197</t>
  </si>
  <si>
    <t>Stericlinic</t>
  </si>
  <si>
    <t>STE500</t>
  </si>
  <si>
    <t>221119-STE500-400L2P-N0005</t>
  </si>
  <si>
    <t>SIN IDENTIFICAR</t>
  </si>
  <si>
    <t>buenas tardes. la autoclave stericlinic se apagó y o ha vuelto a encender. requiere revision. mil gracias</t>
  </si>
  <si>
    <t xml:space="preserve">Se revisa el equipo y este presenta fallas en su funcionamiento debido a que se está disparando la protección del circuito eléctrico debido a una subida de corriente al parecer provocada por el mal funcionamiento de su resistencia principal, se procede a informar al proveedor del equipo para programar su visita y revisión. equipo temporalmente fuera de servicio. </t>
  </si>
  <si>
    <t>26200</t>
  </si>
  <si>
    <t>por favor revisar  flujometros de quirurgicas se encuentran en un cajon de la estacion 1 son 4 ver si funcionan o si no darles de baja mil gracias</t>
  </si>
  <si>
    <t>Se revisan equipos y se encuentran en buenas condiciones funcionales, se realiza chequeo de fugas. Equipos ok.</t>
  </si>
  <si>
    <t>26201</t>
  </si>
  <si>
    <t>H3</t>
  </si>
  <si>
    <t>H3230209044</t>
  </si>
  <si>
    <t>buen dia, problemas con electrocardiograma de la uci obstetrica, al momento de utilizarlo lo imprime el trazado del paciente.</t>
  </si>
  <si>
    <t xml:space="preserve">Se revisa el equipo y se encuentra en buenas condiciones funcionales, se verifica el estado de los accesorios, configuración e impresora y se entrega en buenas condiciones funcionales al servicio. </t>
  </si>
  <si>
    <t>26202</t>
  </si>
  <si>
    <t>buenas tardes, por favor revisar glucometro de consultorio de urgencias adultos ya que no prende, por favor urgente, muchas gracias.</t>
  </si>
  <si>
    <t>26204</t>
  </si>
  <si>
    <t xml:space="preserve">solicito de su colaboracion para la revision del oximetro que no toma bien la saturacion de oxigeno la toma erradamemnte. </t>
  </si>
  <si>
    <t xml:space="preserve">Se revisa el sensor y se encuentra en mal estado, no permite reparación, se procede a realizar el cambio y se entrega uno nuevo al servicio, se realizan pruebas funcionales, equipo Ok. </t>
  </si>
  <si>
    <t>Se realiza entrega de sensor de SPO2 adulto nuevo al servicio con número de serie: FD202510280920403</t>
  </si>
  <si>
    <t>26207</t>
  </si>
  <si>
    <t>CM-42136402</t>
  </si>
  <si>
    <t>545783</t>
  </si>
  <si>
    <t>latiguillos del cubiculo 205 de intermedios adultos arrojan frecuencia  cardiaca alterada, sin coherencia con pulso oximetro ni condicion clinica del paciente</t>
  </si>
  <si>
    <t xml:space="preserve">Se verifica estado del equipo y se encuentra en buenas condiciones funcionales, se revisa configuración y estado de los accesorios, se hacen recomendaciones al personal asistencial. </t>
  </si>
  <si>
    <t>26232</t>
  </si>
  <si>
    <t>buenos dias se solicita favor cambiar el brazalete del monitor de signos vitales del segundo piso torre nueva que se encuentra fallando. muchas gracias.</t>
  </si>
  <si>
    <t xml:space="preserve">Se revisa el equipo y se encuentra daño en brazalete, no permite reparación, se procede a realizar el cambio del brazalete y se entrega uno nuevo al servicio, se realizan pruebas funcionales. Equipo Ok. </t>
  </si>
  <si>
    <t>26253</t>
  </si>
  <si>
    <t>panel electrico de la cama cubiculo 13 no funciona.</t>
  </si>
  <si>
    <t xml:space="preserve">Se revisa el equipo y se encuentra en buenas condiciones funcionales, se verifica estado del panel lateral y motores, ajuste mecánico y pruebas funcionales. Equipo Ok. </t>
  </si>
  <si>
    <t>26255</t>
  </si>
  <si>
    <t>A0201518246N</t>
  </si>
  <si>
    <t>se pone soporte para pared de incubadora con activo fijo numero 572792 que se encuentra fracturada....</t>
  </si>
  <si>
    <t xml:space="preserve">Se revisa equipo y se encuentra fractura en soportes de pared interna, se proceden a reparar y se realizan pruebas funcionales. equipo ok. </t>
  </si>
  <si>
    <t>26264</t>
  </si>
  <si>
    <t>M80</t>
  </si>
  <si>
    <t>332278-M14102020026-02</t>
  </si>
  <si>
    <t>buenos dias. solictamos el arreglo del monitor de signos del servico de salas de pediatria, ya que al conectar el saturador no monitoriza. quedamos atentos a su pronta respuesta. gracias.</t>
  </si>
  <si>
    <t xml:space="preserve">Se revisa equipo y se encuentra daño en sensor pediátrico tipo Y, se inicia proceso de adquisición, a la espera de entrega. </t>
  </si>
  <si>
    <t>26269</t>
  </si>
  <si>
    <t>se solicita brazaletes de las siguientes referencias
6 und pequeño (s): 18 - 22 cm. 
6 und mediano (m/estándar): 22 - 32 cm.
3 und grande (l): 32 - 42 cm.
1 und extragrande (xl): 42 - 52 cm</t>
  </si>
  <si>
    <t xml:space="preserve">Se realiza entrega brazalete de diferentes tamaños al servicio en buenas condiciones y nuevos. </t>
  </si>
  <si>
    <t>Se entregan brazaletes pediátricos diferentes tamaños al servicio nuevos</t>
  </si>
  <si>
    <t>26275</t>
  </si>
  <si>
    <t>buenas tardes, s e monta soporte para tensiometro de sala de partos</t>
  </si>
  <si>
    <t xml:space="preserve">Se revisa equipos y se encuentran en buenas condiciones de funcionamiento, se verifican brazaletes y se verifican fugas. </t>
  </si>
  <si>
    <t>26291</t>
  </si>
  <si>
    <t>por favor revisar bipolar ya que esta dañado, gracias.</t>
  </si>
  <si>
    <t xml:space="preserve">Se revisa equipo y se encuentra daño en pedal, se procede a retirar el pedal del servicio y se inicia proceso de adquisición, a la espera de repuesto </t>
  </si>
  <si>
    <t>26293</t>
  </si>
  <si>
    <t>favor revisar termometro cubiculo 7 uci obstetrica,  gracias</t>
  </si>
  <si>
    <t xml:space="preserve">Se revisa equipo y se encuentra daño en sensor de temperatura, se procede a realizar el cambio y se entrega al servicio en buenas condiciones funcionales. </t>
  </si>
  <si>
    <t>26299</t>
  </si>
  <si>
    <t>ISOLETTE C-2000</t>
  </si>
  <si>
    <t>CB27794</t>
  </si>
  <si>
    <t>incubadora no calienta</t>
  </si>
  <si>
    <t>Se revisa el equipo y se encuentra falla en módulo interno, equipo a la espera de revisión por parte del proveedor con manual de servicio</t>
  </si>
  <si>
    <t>26301</t>
  </si>
  <si>
    <t>se solicita revisar glucometro de ginecologia, malfuncionamiento</t>
  </si>
  <si>
    <t xml:space="preserve">Se revisa equipo y presenta error interno, se le informa al personal para que soliciten nuevo equipo al área de inventario. </t>
  </si>
  <si>
    <t>26303</t>
  </si>
  <si>
    <t>F3</t>
  </si>
  <si>
    <t>560034-M17910080002</t>
  </si>
  <si>
    <t>se solicita revisar monitor fetal en sala de partos ya que no imprime, numero de activo fijo 550040</t>
  </si>
  <si>
    <t xml:space="preserve">Se revisa equipo y se encuentra daño en tarjeta de control del selector, se inicia proceso de adquisición del repuesto, equipo en taller de mantenimiento </t>
  </si>
  <si>
    <t>26309</t>
  </si>
  <si>
    <t>Gentec</t>
  </si>
  <si>
    <t>FM-197B-15L-CH</t>
  </si>
  <si>
    <t>por favor revisar flujometros de quirurgicas se encuentran en un cajon de la estacion 2  ver si funcionan o si no darles de baja mil gracias tiene fuga</t>
  </si>
  <si>
    <t>Se revisa el equipo y se encuentra fuga en válvula reguladora, se procede a realizar el ajuste mecánico correspondiente y se hacen pruebas funcionales, se retorna al servicio en buenas condiciones.</t>
  </si>
  <si>
    <t>26322</t>
  </si>
  <si>
    <t>infusor de la unidad de cuidados intesivos no sostiene el aire, por tal razzon se coloca el ticket, infusor en la estacion 1 de la uci</t>
  </si>
  <si>
    <t xml:space="preserve">Se revisa equipo y se encuentra fuga en cámara neumática del equipo, no permite reparación, se entregan infusores nuevos al servicio. </t>
  </si>
  <si>
    <t>26329</t>
  </si>
  <si>
    <t>hola buena noche se monta soporte para pulsoximetro de monitor de signos estacion 3 de gineco se ha montado en multiples ocasiones le realizan un remiendo y vuelve y se daña , el pulsoximetro no esta en condiciones adecuadas para su uso diario dado a la gran demanda que tenemos en ginecologia , un movimiento brusco del paciente o incluso una caida desde su puesto puede dañarlo , esta flojo , muchas gracias para revisarlo</t>
  </si>
  <si>
    <t xml:space="preserve">Se revisa equipo y se encuentra daño en sensor de SPO2 adulto, no permite reparación, se procede a cambiar el sersor y se realizan pruebas funcionales, se entrega el equipo en buenas condiciones. </t>
  </si>
  <si>
    <t>Se entrega sensor de SPO2 adulto nuevo al servicio con número de serie FD202510280920483</t>
  </si>
  <si>
    <t>26330</t>
  </si>
  <si>
    <t>A0210518245N</t>
  </si>
  <si>
    <t xml:space="preserve">Se revisa equipo y se encuentra daño en cable de báscula, se procede a realizar el cambio de la báscula completa y se realizan pruebas funcionales, se entrega al servicio en buenas condiciones. </t>
  </si>
  <si>
    <t>26339</t>
  </si>
  <si>
    <t>Clay Adams</t>
  </si>
  <si>
    <t>DINAC III</t>
  </si>
  <si>
    <t>4930006</t>
  </si>
  <si>
    <t>544860</t>
  </si>
  <si>
    <t>se requiere del traslado de la centrífuga refrigerada desde su posición actual al área de microbiología, posterior a la adecuación del mesón dende se va a ubicar</t>
  </si>
  <si>
    <t xml:space="preserve">Se revisa equipo y se encuentra daño en una de las escobillas del motor, se procede a realizar el cambio de las mismas y se hacen pruebas funcionales, se entrega al servicio en buenas condiciones de funcionamiento. </t>
  </si>
  <si>
    <t>26361</t>
  </si>
  <si>
    <t>buen dia , por favir revisar monitores de transporte , debido a que no sensan presion arterial , activos fijos # 573990-518909 , muchas gracias</t>
  </si>
  <si>
    <t xml:space="preserve">Se revisan equipos, se realiza chequeo de fugas, se verifican mangueras y brazaletes, se verifican modos de funcionamiento y se encuentran en buenas condiciones funcionales. </t>
  </si>
  <si>
    <t>26372</t>
  </si>
  <si>
    <t>13D0029</t>
  </si>
  <si>
    <t>buenas   ,  tardes  para  reportar     un vacutron  dañado ,  uciadult0s. no  siendo  mas  gracias  por  su  atencion.</t>
  </si>
  <si>
    <t xml:space="preserve">Se verifica el equipo y se realizan pruebas de presión, se realiza ajuste mecánico y se hacen pruebas funcionales, se entrega en buenas condiciones. </t>
  </si>
  <si>
    <t>26373</t>
  </si>
  <si>
    <t>AGILA</t>
  </si>
  <si>
    <t>ASEK-0416</t>
  </si>
  <si>
    <t>buenas  tardes,  para  reportar    la  torre  del cubiculo   38,   donde  se  conectan  los vacutrones,    para  revisar.  uciadult0s,   no  siendo mas  gracias  por  su  atencion  prestada.</t>
  </si>
  <si>
    <t xml:space="preserve">Se revisa equipo y se hacen pruebas funcionales y de fugas en las tomas de vacío, se verifica con varios equipos y se hacen pruebas funcionales, el módulo funciona correctamente. </t>
  </si>
  <si>
    <t>26383</t>
  </si>
  <si>
    <t>CM-3B134866</t>
  </si>
  <si>
    <t>Cubículo 24</t>
  </si>
  <si>
    <t>se solicita mantenimiento de signos vitales del cubiculo 24 de uci adultos</t>
  </si>
  <si>
    <t xml:space="preserve">Se revisa equipo y se encuentra sensor de SPO2 en malas condiciones, no permite reparación, se procede a realizar el cambio del sensor y se realizan pruebas funcionales, se entrega en buenas condiciones. </t>
  </si>
  <si>
    <t>Se realiza entrega de sensor de SPO2 nuevo al servicio con número de serie FD202510280930179</t>
  </si>
  <si>
    <t>26384</t>
  </si>
  <si>
    <t>CM-3B134865</t>
  </si>
  <si>
    <t>se solicita mantenimiento del termometro del monitor de signos vitales del cubiculo 22.</t>
  </si>
  <si>
    <t xml:space="preserve">Se revisa equipo y se encuentra daño en sensor de temperatura, se procede a realizar el cambio y se realizan pruebas funcionales, equipo Ok. </t>
  </si>
  <si>
    <t>26386</t>
  </si>
  <si>
    <t>buen dia comedidamente les pido el favor y nos colaboren con el monitor de signos vitales del cubiculo # 5 de intermedios adulto el cual no censan los latiguillos en el monitor muchas gracias</t>
  </si>
  <si>
    <t xml:space="preserve">Se revisa el equipo y se realizan pruebas funcionales, se verifica el estado de los accesorios y configuraciones y se encuentra en buenas condiciones. </t>
  </si>
  <si>
    <t>26387</t>
  </si>
  <si>
    <t>brezalete malo en la cama. 224</t>
  </si>
  <si>
    <t xml:space="preserve">Se revisa equipo y se encuentra en buenas condiciones funcionales, se verifica estado de los accesorios y configuraciones. Equipo Ok. </t>
  </si>
  <si>
    <t>26401</t>
  </si>
  <si>
    <t>Hamilton</t>
  </si>
  <si>
    <t>HAMILTON C-1</t>
  </si>
  <si>
    <t>ventilador mecanico activo fijo 573190, escape de aire en la manguera de oxigeno</t>
  </si>
  <si>
    <t xml:space="preserve">Se revisa el equipo y se encuentra fuga por la manguera de oxígeno, se procede a realizar el ajuste mecánico de la manguera y se hacen pruebas funcionales, equipo ok. </t>
  </si>
  <si>
    <t>26402</t>
  </si>
  <si>
    <t>fallo en celda de fi02, o fallo en sensor de fi02, al aumentar fi02 por encima de 22% se activa alarma de fi02 baja y marca en celda de fi02 1% ventilador mecanico  cubiculo 5 uci obsetrica</t>
  </si>
  <si>
    <t xml:space="preserve">Se revisa equipo, se realizan pruebas de funcionamiento, se verifican valores y el equipo se encuentra en buenas condiciones, se dan recomendaciones a personal asistencial. </t>
  </si>
  <si>
    <t>26403</t>
  </si>
  <si>
    <t>buen dia, se solicita amablemente la revisoin del  glucometro el cual se esta apagando al momento de tomar las glucometrias, esta ubicado en intermedios pediatria, gracias por la atencion y pronta colaboracion.</t>
  </si>
  <si>
    <t xml:space="preserve">Se revisa el equipo y se encuentra daño interno, se le informa al personal asistencial para que soliciten un equipo nuevo a inventarios. </t>
  </si>
  <si>
    <t>26407</t>
  </si>
  <si>
    <t>se solicita revision de ventilador hamilton de transporte, que se recibe con aumento en ruptura en esquina superior izquierda.</t>
  </si>
  <si>
    <t xml:space="preserve">Se revisa equipo y se encuentra fractura en carcasa frontal que no afecta su funcionamiento, se verifica estado funcional y parámetros, equipo Ok. </t>
  </si>
  <si>
    <t>26408</t>
  </si>
  <si>
    <t xml:space="preserve">cama del cubiculo numero 23 esta fallano no deja cambiar de posicion no funciona con control ni con palanca </t>
  </si>
  <si>
    <t>26409</t>
  </si>
  <si>
    <t>S2SNF4422</t>
  </si>
  <si>
    <t>buen dia se soliicta revizar cables de ekg del monitor cubiculo 5 ubicado en uci neonatos ya que no marca el trazado, gracias pro su pronta colaboracion</t>
  </si>
  <si>
    <t xml:space="preserve">Se revisa el equipo y se encuentra en buenas condiciones funcionales, se verifica el estado de los latiguillos y del cable de ECG, se verifica configuración.. Equipo Ok. </t>
  </si>
  <si>
    <t>26410</t>
  </si>
  <si>
    <t>S2SNF4442</t>
  </si>
  <si>
    <t>buen dia se solicita cambiar el cable del tensiometro del cubiculo 10 uci neonatos, ya que este se ha venido recortando por que se cristaliza y no marca la tesnion aretrial, rgacias pro su colaboracion</t>
  </si>
  <si>
    <t xml:space="preserve">Se revisa el equipo y se encuentra manguera en buenas condiciones funcionales, se realiza el chequeo de fugas y se verifican los conectores, el equipo funciona normal. </t>
  </si>
  <si>
    <t>26413</t>
  </si>
  <si>
    <t>buen dia por favor solicito brazaletes de tensiometro para la uci pediatrica, no contamos con brazaletes para pacientes grandes.</t>
  </si>
  <si>
    <t>Se realiza entrega de 05 brazaletes pediátricos de 1 vía nuevos a la jefe Juliana Lopez del servicio de pediatría</t>
  </si>
  <si>
    <t>Se entregan 05 brazaletes pediátricos nuevos al servicio de 1 vía y diferentes tamaños</t>
  </si>
  <si>
    <t>26440</t>
  </si>
  <si>
    <t xml:space="preserve">porfavor realizar cambio de sensor de temperatura de monitor de la cama 10de la uci neonatal </t>
  </si>
  <si>
    <t>Se emtrega sensor de temperatura nuevo al servicio</t>
  </si>
  <si>
    <t>26448</t>
  </si>
  <si>
    <t>favor cambiar brazalete monitor cubiculo 32 y revisar pulsoximetro.</t>
  </si>
  <si>
    <t xml:space="preserve">Se revisa el equipo y se encuentra daño en brazalete, se procede a realizar el cambio y se hacen pruebas funcionales. Equipo en buenas condiciones. </t>
  </si>
  <si>
    <t>26451</t>
  </si>
  <si>
    <t xml:space="preserve">hola, buen dia, se solicita amablemente la revision de las 2 centrifugas del banco ya que estas no estan funcionando correctamente, una no arranca y la otra tiene problemas con los numeros en el tablero </t>
  </si>
  <si>
    <t>26454</t>
  </si>
  <si>
    <t>no toma presion dinamac activo  550042</t>
  </si>
  <si>
    <t xml:space="preserve">Se revisa monitor y se encuentra brazalete en mal estado, no permite reparación, se procede a realizar el cambio del mismo y se entrega uno nuevo al servicio, se realizan pruebas funcionales. Equipo OK. </t>
  </si>
  <si>
    <t xml:space="preserve">Se entrega brazalete 1 vía adulto nuevo al servicio. </t>
  </si>
  <si>
    <t>26459</t>
  </si>
  <si>
    <t>flujometro que no genera registro en el monitor y no enciende</t>
  </si>
  <si>
    <t xml:space="preserve">Se revisa equipo, conexiones y accesorios, se verifica estado de funcionamiento, equipo ok. </t>
  </si>
  <si>
    <t>26460</t>
  </si>
  <si>
    <t>buenas noches para solicitar revision de bomba de infusion ubicada en cuarto de equipos medicos, no inicia, anuncia letrero cerrar puerta, se cierra y no inicia.</t>
  </si>
  <si>
    <t xml:space="preserve">Se revisa equipo y se encuentra daño interno, se retira del servicio y se deja en taller de mantenimiento a la espera de ser revisada por proveedor. </t>
  </si>
  <si>
    <t>26464</t>
  </si>
  <si>
    <t>buenas noches, de nuevo se deja soporte de la necesidad de brazaletes grandes y pequeños para el servicio de intermedios pediatria ya que no tenemos.  muchas gracias</t>
  </si>
  <si>
    <t>Se realiza entrega de 04 brazaletes pediátricos de 1 vía nuevos a la jefe del servicio de cuidados intermedios de pediatría.</t>
  </si>
  <si>
    <t>Se entregan 04 brazaletes pediátricos nuevos al servicio de 1 vía y diferentes tamaños</t>
  </si>
  <si>
    <t>26465</t>
  </si>
  <si>
    <t>EFFICIA CM120</t>
  </si>
  <si>
    <t>CN92395092</t>
  </si>
  <si>
    <t>572824</t>
  </si>
  <si>
    <t>se solicita la revision del cable de electro del monitor de transporte de pacientes ya que se encuntra en cable averiado. gracias</t>
  </si>
  <si>
    <t>Se revisa equipo y se encuentra cable de ecg en buenas condiciones, se verifica configuración y se le hace recomendaciones al personal asistencial, equipo ok.</t>
  </si>
  <si>
    <t>26484</t>
  </si>
  <si>
    <t>333123-M14102120037</t>
  </si>
  <si>
    <t>buenos  se solicita   revision  urgente del  monitor  de triage, no  esta   funcionando  brazalete</t>
  </si>
  <si>
    <t>Se revisa equipo y se encuentra velcro de los brazaletes deteriorado y despegado, se procede a realizar el refuerzo de las costuras de los brazaletes y se retornan al servicio en buenas condiciones, se realizan pruebas funcionales. Equipo OK.</t>
  </si>
  <si>
    <t>26493</t>
  </si>
  <si>
    <t>buenos dias, se solicita el favor de revision de cama electrica, esta en el puente del 5to piso el control no funciona.</t>
  </si>
  <si>
    <t xml:space="preserve">Se revisa cama y se encuentra daño en control de mando, se le informa al personal que el repuesto ya se encuentra en proceso de compra, por tal motivo se cierra el soporte. </t>
  </si>
  <si>
    <t>26495</t>
  </si>
  <si>
    <t>buenos dias, se saolicita el favor de revision de oximetro del monitor de la estacion 2 del 5to piso.</t>
  </si>
  <si>
    <t xml:space="preserve">Se revisa equipo y se encuentra daño en sensor de saturación, se procede a realizar la reparación y se entrega en buenas condiciones funcionales. equipo ok. </t>
  </si>
  <si>
    <t>26496</t>
  </si>
  <si>
    <t>buenos dias, se saolicita el favor de revision de oximetro del monitor de la estacion 3 no funcionan del 5to piso.</t>
  </si>
  <si>
    <t xml:space="preserve">Se revisa equipo y se encuentra sensor de SPO2 en mal estado, no permite reparación, se procede a realizar el cambio del sensor y se eentrega uno nuevo al servicio, se realizan pruebas funcionales, equipo ok. </t>
  </si>
  <si>
    <t>Se entrega sensor de SPO2 adulto nuevo al servicio con número de serie FD202510280920445</t>
  </si>
  <si>
    <t>26499</t>
  </si>
  <si>
    <t>termometro malo</t>
  </si>
  <si>
    <t xml:space="preserve">Se revisa equipo y se encuentra en buenas condiciones funcionales, se verifica estado de la batería y el display, equipo ok. </t>
  </si>
  <si>
    <t>26500</t>
  </si>
  <si>
    <t>buenas   trade    monitor continua presentando  fallas  para  toma  de presion</t>
  </si>
  <si>
    <t xml:space="preserve">Se revisa monitor y se encuentra daño en sensor de SPO2, se procede a realizar el cambio y se entrega uno nuevo al servicio, se realizan pruebas funcionales, equipo ok. </t>
  </si>
  <si>
    <t>Se entrega sensor de SPO2 adulto nuevo al servicio con número de serie FD202510280920452</t>
  </si>
  <si>
    <t>26522</t>
  </si>
  <si>
    <t>Homedics</t>
  </si>
  <si>
    <t>HHP-350</t>
  </si>
  <si>
    <t>CLL05-0420</t>
  </si>
  <si>
    <t>574214</t>
  </si>
  <si>
    <t>vibropercutor deja de funcionar al utilizarlo, hace mal contacto con el cable</t>
  </si>
  <si>
    <t xml:space="preserve">Se revisa equipo y se encuentra fractura interna en cable de alimentación, se procede a realizar la reparación del mismo y se hacen pruebas funcionales, se entrega al servicio en buenas condiciones. </t>
  </si>
  <si>
    <t>26534</t>
  </si>
  <si>
    <t>Lenz</t>
  </si>
  <si>
    <t>GZ-805</t>
  </si>
  <si>
    <t>805BJ09150000446</t>
  </si>
  <si>
    <t>buenas tardes se solicita revisar tensiómetro digital del consultorio 18, gracias quedo atenta.</t>
  </si>
  <si>
    <t xml:space="preserve">Se revisa equipo y se encuentra en malas condiciones funcionales, se encuentra líquido al interior del equipo lo que hizo que no encendiera más, se encontró display reventado, se recomienda dar de baja el equipo. </t>
  </si>
  <si>
    <t>Equipo para dar de baja</t>
  </si>
  <si>
    <t>26545</t>
  </si>
  <si>
    <t>al monitor del cuarto de ranimacion y el de la toma de signos vitales, le hacen falta los cables para el ekg ya que son muy importantes, urgente, muchas gracias, urgencias pediatria</t>
  </si>
  <si>
    <t xml:space="preserve">Se revisa equipo y se encuentra en buenas condiciones funcionales, se verifica estado de los accesorios y configuraciones, equipo ok. </t>
  </si>
  <si>
    <t>26546</t>
  </si>
  <si>
    <t>Carefusion / Vyaire</t>
  </si>
  <si>
    <t>VELA COMPREHENSIVE 16532-08</t>
  </si>
  <si>
    <t>CAT02934</t>
  </si>
  <si>
    <t>574164</t>
  </si>
  <si>
    <t>ventilador mecanico de trasnporte del servicio de intermedios ubicado en el cuarto de equipos con activo fijo 574164 la manguera de oxigeno tiene fuga.</t>
  </si>
  <si>
    <t>Se revisa equipo y se encuentra desajuste en la manguera de aire, se procede a realizar el ajuste correspondiente y se realizan pruebas funcionales, equipo ok,</t>
  </si>
  <si>
    <t>26553</t>
  </si>
  <si>
    <t xml:space="preserve">solicito de su colaboracion para la revision del oximetro que se encuentra en la estación 2 del servicio de quirurgicas. </t>
  </si>
  <si>
    <t xml:space="preserve">Se revisa equipo y se encuentra daño en sensor de SPO2, se procede a reparar y se hacen pruebas funcionales, se entrega al servicio en buenas condiciones. </t>
  </si>
  <si>
    <t>26560</t>
  </si>
  <si>
    <t xml:space="preserve">hola, buen dia, se solicita amablemente la revision de la nevera numero #2 ya que esta presenta variacion en la temperatura, no correspondientes a ella se agradece pronta colaboracion. </t>
  </si>
  <si>
    <t xml:space="preserve">Se revisa equipo y se encuentra nivel de refrigerante bajo, se realiza el ajuste y se hacen pruebas funcionales, se entrega al servicio en buenas condiciones. </t>
  </si>
  <si>
    <t>26565</t>
  </si>
  <si>
    <t>12-0828</t>
  </si>
  <si>
    <t>544868</t>
  </si>
  <si>
    <t>cordial saludo, solicito por favor la revision de la nevera ya que dan temperaturas de 15°c, muchas gracias</t>
  </si>
  <si>
    <t>26574</t>
  </si>
  <si>
    <t>buena tarde para reportar pita falla de error de la potencia del ventilador en incubadora atom activo fijo no 574288, queda en el pasillo de neonatos. agradecemos su colaboracion y pronta respuesta.</t>
  </si>
  <si>
    <t xml:space="preserve">Se revisa equipo y se encuentra falla en motor ventilador del equipo, requiere cambio del motor, se inicia proceso de adquisición para reparación, equipo queda fuera de servicio mientras llega el repuesto. </t>
  </si>
  <si>
    <t>26583</t>
  </si>
  <si>
    <t>se solicita cambio de de brazalete de cubiculo 32 de uci adultos, ya que presenta fuga</t>
  </si>
  <si>
    <t>26587</t>
  </si>
  <si>
    <t>buenos días por favor revisar monitores de signos vitales no están cargando gracias</t>
  </si>
  <si>
    <t>Se revisan equipos y se encuentran en buenas condiciones funcionales, se verifica es estado de las baterías y accesorios, equipos ok.</t>
  </si>
  <si>
    <t>26590</t>
  </si>
  <si>
    <t>brazalete de tensiometro dañado</t>
  </si>
  <si>
    <t xml:space="preserve">Se revisa equipo y se encuentra brazalete en mal estado, no permite reparación, se procede a cambiar el brazalete y se realizan pruebas funcionales, equipo ok. </t>
  </si>
  <si>
    <t>26608</t>
  </si>
  <si>
    <t>los laringos estan disfunsionales se les cambia la pila y no encienden correctamente,</t>
  </si>
  <si>
    <t xml:space="preserve">Se revisan los equipos y se realiza limpieza de contactos eléctricos, se revisa bombillo y porta bombillo y se hacen pruebas funcionales. </t>
  </si>
  <si>
    <t>26612</t>
  </si>
  <si>
    <t>SM-3M-TL</t>
  </si>
  <si>
    <t>78505</t>
  </si>
  <si>
    <t>silla del cubiculo 1 y silla de cubiculo 6, no funciona el control remoto y no da conección a la energia- unidad renal</t>
  </si>
  <si>
    <t xml:space="preserve">Se revisan sillas y se encuentra daño en los controles de mando, se proceden a reparar y se realizan pruebas funcionales, se entregan al servicio en buenas condiciones. </t>
  </si>
  <si>
    <t>26613</t>
  </si>
  <si>
    <t>Health O Meter</t>
  </si>
  <si>
    <t>402KL</t>
  </si>
  <si>
    <t>402WA02669</t>
  </si>
  <si>
    <t>les agradeceria de ante mano realizar la calibracion de la bascula de hemodialisis. muchas gracias</t>
  </si>
  <si>
    <t xml:space="preserve">Se revisa equipo y se encuentra en buenas condiciones funcionales, se verifia el ajuste a cero y se verifica el estado mecánico. </t>
  </si>
  <si>
    <t>26616</t>
  </si>
  <si>
    <t>buenas tardes por favor bajar los escudos de los tomas medicinales y oxigeno, gracias.</t>
  </si>
  <si>
    <t>Se bajan todos los escudos de las salas 1 a la 4 para ser pintados</t>
  </si>
  <si>
    <t>26628</t>
  </si>
  <si>
    <t>hola buena noche se monta nuevamente soporte de monitor de signos estacion 3 de ginecologia  el cual no esta funcionando adecuadamente , no funciona el punto de conexion del brazalete de tension arterial dado a que se probo con otro de otro monitor y seguia con la misma falla , muchas gracias</t>
  </si>
  <si>
    <t>Se revisa equipo, se realizan pruebas de fugas, se encuentra brazalete en malas condiciones, se procede a realizar el cambio, se realizan pruebas funcionales y se entrega al servicio en buenas condiciones</t>
  </si>
  <si>
    <t>26630</t>
  </si>
  <si>
    <t>buenas noche se solicita el arreglo del brazalete de singnos vitales de la estacion # 1 de servicios especiales que  no toma la presion muchas alejandra ospina enfermera.</t>
  </si>
  <si>
    <t>Se revisa el equipo , se hace prueba de fugas, se verifica estado de los accesorios y se hacen pruebas funcionales. Equipo en buenas condiciones</t>
  </si>
  <si>
    <t>26631</t>
  </si>
  <si>
    <t>buenos  dias se solicita   revisión del   equipo de     signos   vitales de  triage   urgencias no esta  tomado la presión  arterial     gracias</t>
  </si>
  <si>
    <t>26633</t>
  </si>
  <si>
    <t>333021-M13301830022-01</t>
  </si>
  <si>
    <t>buenos dias, porfavor revisar monitor que no esta marcando frecuencia cardiaca ni sensa presion arterial, y para recordarle que este mismo monitoro se encuentra sin sensor de pulsioximetro que se lo llevo biomedico para revision y/o reposicion, muchas gracias</t>
  </si>
  <si>
    <t xml:space="preserve">Se revisa equipo y se encuentra que no toma frecuencia cardiaca con cable ecg, se verifica configuración, se ajustan parámetros y se hacen pruebas funcionales. Equipo Ok. </t>
  </si>
  <si>
    <t>26636</t>
  </si>
  <si>
    <t>buenos días, favor revisar tensiómetro de la estación nro 3 que no funciona. gracias.</t>
  </si>
  <si>
    <t>26639</t>
  </si>
  <si>
    <t>buenos dias, se solicita el fvor de arreglo de tensiometro de la estacion 3 del 5to piso.</t>
  </si>
  <si>
    <t>26640</t>
  </si>
  <si>
    <t>buenos dias, se solicita el favor de arreglo de tensiometro de la estacion 1 del 5to piso.</t>
  </si>
  <si>
    <t>26657</t>
  </si>
  <si>
    <t>F017346N0219</t>
  </si>
  <si>
    <t>se solicita revisar y repara glucometro de partos, no funciona</t>
  </si>
  <si>
    <t xml:space="preserve">Se revisa equipo y se realizan pruebas de medición con líquidos de control arrojando valores normales, se retorna al servicio en buenas condiciones funcionales. </t>
  </si>
  <si>
    <t xml:space="preserve">SOLICITADOS </t>
  </si>
  <si>
    <t xml:space="preserve">REPORTADOS </t>
  </si>
  <si>
    <t>CERRADOS</t>
  </si>
  <si>
    <t xml:space="preserve">TRABAJANDO </t>
  </si>
  <si>
    <t>SOLICITADO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</si>
</sst>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m/yyyy"/>
    <numFmt numFmtId="165" formatCode="d/mm/yyyy\ h:mm:ss"/>
    <numFmt numFmtId="166" formatCode="[$-F400]h:mm:ss\ AM/PM"/>
  </numFmts>
  <fonts count="17">
    <font>
      <sz val="10"/>
      <color rgb="FF000000"/>
      <name val="Arial"/>
      <scheme val="minor"/>
    </font>
    <font>
      <b/>
      <sz val="10"/>
      <color theme="1"/>
      <name val="Arial"/>
    </font>
    <font>
      <sz val="10"/>
      <color rgb="FF000000"/>
      <name val="Arial"/>
    </font>
    <font>
      <sz val="10"/>
      <color theme="1"/>
      <name val="Arial"/>
    </font>
    <font>
      <sz val="11"/>
      <color rgb="FF000000"/>
      <name val="Inconsolata"/>
    </font>
    <font>
      <sz val="10"/>
      <color theme="1"/>
      <name val="Arial"/>
      <scheme val="minor"/>
    </font>
    <font>
      <b/>
      <sz val="10"/>
      <color theme="1"/>
      <name val="Calibri"/>
    </font>
    <font>
      <sz val="9"/>
      <color rgb="FF000000"/>
      <name val="Calibri"/>
    </font>
    <font>
      <b/>
      <sz val="11"/>
      <color rgb="FF356854"/>
      <name val="Calibri"/>
    </font>
    <font>
      <sz val="9"/>
      <color theme="1"/>
      <name val="Calibri"/>
    </font>
    <font>
      <b/>
      <sz val="9"/>
      <color theme="1"/>
      <name val="Calibri"/>
    </font>
    <font>
      <sz val="9"/>
      <color rgb="FF333333"/>
      <name val="Calibri"/>
    </font>
    <font>
      <sz val="9"/>
      <color rgb="FF000000"/>
      <name val="Arial"/>
      <scheme val="major"/>
    </font>
    <font>
      <sz val="10"/>
      <color rgb="FF000000"/>
      <name val="Calibri"/>
    </font>
    <font>
      <b/>
      <sz val="10"/>
      <color rgb="FF000000"/>
      <name val="Calibri"/>
    </font>
    <font>
      <b/>
      <sz val="10"/>
      <color rgb="FF000000"/>
      <name val="Arial"/>
      <scheme val="minor"/>
    </font>
    <font>
      <b/>
      <sz val="10"/>
      <color rgb="FF054F51"/>
      <name val="Arial"/>
      <scheme val="major"/>
    </font>
  </fonts>
  <fills count="4">
    <fill>
      <patternFill patternType="none"/>
    </fill>
    <fill>
      <patternFill patternType="gray125"/>
    </fill>
    <fill>
      <patternFill patternType="solid">
        <fgColor rgb="FFFFFFFF"/>
        <bgColor rgb="FFFFFFFF"/>
      </patternFill>
    </fill>
    <fill>
      <patternFill patternType="solid">
        <fgColor rgb="FFB3CEFA"/>
        <bgColor rgb="FFB3CEFA"/>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284E3F"/>
      </left>
      <right style="thin">
        <color rgb="FF356854"/>
      </right>
      <top style="thin">
        <color rgb="FF284E3F"/>
      </top>
      <bottom style="thin">
        <color rgb="FF284E3F"/>
      </bottom>
      <diagonal/>
    </border>
    <border>
      <left style="thin">
        <color rgb="FF356854"/>
      </left>
      <right style="thin">
        <color rgb="FF356854"/>
      </right>
      <top style="thin">
        <color rgb="FF284E3F"/>
      </top>
      <bottom/>
      <diagonal/>
    </border>
    <border>
      <left style="thin">
        <color rgb="FF000000"/>
      </left>
      <right style="thin">
        <color rgb="FF356854"/>
      </right>
      <top style="thin">
        <color rgb="FF000000"/>
      </top>
      <bottom style="thin">
        <color rgb="FF000000"/>
      </bottom>
      <diagonal/>
    </border>
    <border>
      <left style="thin">
        <color rgb="FF356854"/>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59">
    <xf numFmtId="0" fontId="0" fillId="0" borderId="0" xfId="0"/>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left" vertical="center"/>
    </xf>
    <xf numFmtId="0" fontId="3" fillId="0" borderId="1" xfId="0" applyFont="1" applyBorder="1" applyAlignment="1">
      <alignment horizontal="left" vertical="center"/>
    </xf>
    <xf numFmtId="0" fontId="2" fillId="0" borderId="1" xfId="0" applyFont="1" applyBorder="1" applyAlignment="1">
      <alignment horizontal="left" vertical="center"/>
    </xf>
    <xf numFmtId="0" fontId="4" fillId="2" borderId="1" xfId="0" applyFont="1" applyFill="1" applyBorder="1" applyAlignment="1">
      <alignment horizontal="left" vertical="center"/>
    </xf>
    <xf numFmtId="0" fontId="2" fillId="2" borderId="2" xfId="0" applyFont="1" applyFill="1" applyBorder="1" applyAlignment="1">
      <alignment horizontal="left" vertical="center"/>
    </xf>
    <xf numFmtId="0" fontId="3" fillId="0" borderId="0" xfId="0" applyFont="1" applyAlignment="1">
      <alignment horizontal="left" vertical="center"/>
    </xf>
    <xf numFmtId="0" fontId="5" fillId="0" borderId="0" xfId="0" applyFont="1"/>
    <xf numFmtId="49" fontId="6" fillId="3" borderId="3" xfId="0" applyNumberFormat="1" applyFont="1" applyFill="1" applyBorder="1" applyAlignment="1">
      <alignment horizontal="center" vertical="center" wrapText="1"/>
    </xf>
    <xf numFmtId="164" fontId="6" fillId="3" borderId="4" xfId="0" applyNumberFormat="1" applyFont="1" applyFill="1" applyBorder="1" applyAlignment="1">
      <alignment horizontal="center" vertical="center" wrapText="1"/>
    </xf>
    <xf numFmtId="0" fontId="6" fillId="3" borderId="1" xfId="0" applyFont="1" applyFill="1" applyBorder="1" applyAlignment="1">
      <alignment horizontal="center" vertical="center" wrapText="1"/>
    </xf>
    <xf numFmtId="49" fontId="6" fillId="3" borderId="1" xfId="0" applyNumberFormat="1" applyFont="1" applyFill="1" applyBorder="1" applyAlignment="1">
      <alignment horizontal="center" vertical="center" wrapText="1"/>
    </xf>
    <xf numFmtId="165" fontId="6" fillId="3" borderId="1" xfId="0" applyNumberFormat="1" applyFont="1" applyFill="1" applyBorder="1" applyAlignment="1">
      <alignment horizontal="center" vertical="center" wrapText="1"/>
    </xf>
    <xf numFmtId="49" fontId="6" fillId="3" borderId="5" xfId="0" applyNumberFormat="1" applyFont="1" applyFill="1" applyBorder="1" applyAlignment="1">
      <alignment horizontal="center" vertical="center" wrapText="1"/>
    </xf>
    <xf numFmtId="46" fontId="6" fillId="3" borderId="1" xfId="0" applyNumberFormat="1" applyFont="1" applyFill="1" applyBorder="1" applyAlignment="1">
      <alignment horizontal="center" vertical="center" wrapText="1"/>
    </xf>
    <xf numFmtId="1" fontId="6" fillId="3" borderId="6" xfId="0" applyNumberFormat="1" applyFont="1" applyFill="1" applyBorder="1" applyAlignment="1">
      <alignment horizontal="center" vertical="center" wrapText="1"/>
    </xf>
    <xf numFmtId="49" fontId="8" fillId="0" borderId="1" xfId="0" applyNumberFormat="1" applyFont="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applyAlignment="1">
      <alignment horizontal="left" vertical="center" wrapText="1"/>
    </xf>
    <xf numFmtId="0" fontId="10" fillId="0" borderId="1" xfId="0" applyFont="1" applyBorder="1" applyAlignment="1">
      <alignment horizontal="center" vertical="center" wrapText="1"/>
    </xf>
    <xf numFmtId="46" fontId="9" fillId="0" borderId="1" xfId="0" applyNumberFormat="1" applyFont="1" applyBorder="1" applyAlignment="1">
      <alignment horizontal="center" vertical="center" wrapText="1"/>
    </xf>
    <xf numFmtId="0" fontId="9" fillId="2" borderId="1" xfId="0" applyFont="1" applyFill="1" applyBorder="1" applyAlignment="1">
      <alignment horizontal="center" vertical="center" wrapText="1"/>
    </xf>
    <xf numFmtId="1" fontId="9" fillId="0" borderId="7" xfId="0" applyNumberFormat="1" applyFont="1" applyBorder="1" applyAlignment="1">
      <alignment horizontal="center" vertical="center" wrapText="1"/>
    </xf>
    <xf numFmtId="0" fontId="3" fillId="0" borderId="2" xfId="0" applyFont="1" applyBorder="1" applyAlignment="1">
      <alignment horizontal="left" vertical="center"/>
    </xf>
    <xf numFmtId="0" fontId="3" fillId="0" borderId="0" xfId="0" applyFont="1"/>
    <xf numFmtId="0" fontId="0" fillId="0" borderId="0" xfId="0" applyAlignment="1">
      <alignment horizontal="left"/>
    </xf>
    <xf numFmtId="49" fontId="6" fillId="3" borderId="2" xfId="0" applyNumberFormat="1" applyFont="1" applyFill="1" applyBorder="1" applyAlignment="1">
      <alignment horizontal="center" vertical="center" wrapText="1"/>
    </xf>
    <xf numFmtId="0" fontId="1" fillId="0" borderId="2" xfId="0" applyFont="1" applyBorder="1" applyAlignment="1">
      <alignment horizontal="left" vertical="center" wrapText="1"/>
    </xf>
    <xf numFmtId="0" fontId="3" fillId="0" borderId="7" xfId="0" applyFont="1" applyBorder="1" applyAlignment="1">
      <alignment horizontal="left" vertical="center"/>
    </xf>
    <xf numFmtId="0" fontId="2" fillId="0" borderId="7" xfId="0" applyFont="1" applyBorder="1" applyAlignment="1">
      <alignment horizontal="left" vertical="center"/>
    </xf>
    <xf numFmtId="0" fontId="1" fillId="0" borderId="8" xfId="0" applyFont="1" applyBorder="1" applyAlignment="1">
      <alignment horizontal="left" vertical="center" wrapText="1"/>
    </xf>
    <xf numFmtId="0" fontId="2" fillId="0" borderId="9" xfId="0" applyFont="1" applyBorder="1" applyAlignment="1">
      <alignment horizontal="left" vertical="center"/>
    </xf>
    <xf numFmtId="0" fontId="3" fillId="0" borderId="8" xfId="0" applyFont="1" applyBorder="1" applyAlignment="1">
      <alignment horizontal="left" vertical="center"/>
    </xf>
    <xf numFmtId="0" fontId="6" fillId="3" borderId="2" xfId="0" applyFont="1" applyFill="1" applyBorder="1" applyAlignment="1">
      <alignment horizontal="center" vertical="center" wrapText="1"/>
    </xf>
    <xf numFmtId="0" fontId="9" fillId="0" borderId="2" xfId="0" applyFont="1" applyBorder="1" applyAlignment="1">
      <alignment vertical="center" wrapText="1"/>
    </xf>
    <xf numFmtId="49" fontId="8" fillId="0" borderId="8" xfId="0" applyNumberFormat="1" applyFont="1" applyBorder="1" applyAlignment="1">
      <alignment horizontal="center" vertical="center" wrapText="1"/>
    </xf>
    <xf numFmtId="164" fontId="7" fillId="0" borderId="8" xfId="0" applyNumberFormat="1" applyFont="1" applyBorder="1" applyAlignment="1">
      <alignment horizontal="center" vertical="center" wrapText="1"/>
    </xf>
    <xf numFmtId="0" fontId="9" fillId="0" borderId="8" xfId="0" applyFont="1" applyBorder="1" applyAlignment="1">
      <alignment horizontal="center" vertical="center" wrapText="1"/>
    </xf>
    <xf numFmtId="0" fontId="9" fillId="0" borderId="8" xfId="0" applyFont="1" applyBorder="1" applyAlignment="1">
      <alignment horizontal="left" vertical="center" wrapText="1"/>
    </xf>
    <xf numFmtId="0" fontId="10" fillId="0" borderId="8" xfId="0" applyFont="1" applyBorder="1" applyAlignment="1">
      <alignment horizontal="center" vertical="center" wrapText="1"/>
    </xf>
    <xf numFmtId="0" fontId="9" fillId="2" borderId="8" xfId="0" applyFont="1" applyFill="1" applyBorder="1" applyAlignment="1">
      <alignment horizontal="center" vertical="center" wrapText="1"/>
    </xf>
    <xf numFmtId="166" fontId="6" fillId="3" borderId="1" xfId="0" applyNumberFormat="1" applyFont="1" applyFill="1" applyBorder="1" applyAlignment="1">
      <alignment horizontal="center" vertical="center" wrapText="1"/>
    </xf>
    <xf numFmtId="166" fontId="11" fillId="2" borderId="1" xfId="0" applyNumberFormat="1" applyFont="1" applyFill="1" applyBorder="1" applyAlignment="1">
      <alignment horizontal="center" vertical="center" wrapText="1"/>
    </xf>
    <xf numFmtId="166" fontId="0" fillId="0" borderId="0" xfId="0" applyNumberFormat="1"/>
    <xf numFmtId="166" fontId="9" fillId="0" borderId="1" xfId="0" applyNumberFormat="1" applyFont="1" applyBorder="1" applyAlignment="1">
      <alignment horizontal="center" vertical="center" wrapText="1"/>
    </xf>
    <xf numFmtId="14" fontId="6" fillId="3" borderId="1" xfId="0" applyNumberFormat="1" applyFont="1" applyFill="1" applyBorder="1" applyAlignment="1">
      <alignment horizontal="center" vertical="center" wrapText="1"/>
    </xf>
    <xf numFmtId="14" fontId="7" fillId="0" borderId="1" xfId="0" applyNumberFormat="1" applyFont="1" applyBorder="1" applyAlignment="1">
      <alignment horizontal="center" vertical="center" wrapText="1"/>
    </xf>
    <xf numFmtId="14" fontId="7" fillId="0" borderId="8" xfId="0" applyNumberFormat="1" applyFont="1" applyBorder="1" applyAlignment="1">
      <alignment horizontal="center" vertical="center" wrapText="1"/>
    </xf>
    <xf numFmtId="14" fontId="0" fillId="0" borderId="0" xfId="0" applyNumberFormat="1"/>
    <xf numFmtId="0" fontId="2" fillId="0" borderId="2" xfId="0" applyFont="1" applyBorder="1" applyAlignment="1">
      <alignment horizontal="left" vertical="center"/>
    </xf>
    <xf numFmtId="0" fontId="12" fillId="0" borderId="1" xfId="0" applyFont="1" applyBorder="1" applyAlignment="1">
      <alignment horizontal="center" vertical="center" wrapText="1"/>
    </xf>
    <xf numFmtId="49" fontId="12" fillId="0" borderId="1" xfId="0" applyNumberFormat="1" applyFont="1" applyBorder="1" applyAlignment="1">
      <alignment horizontal="center" vertical="center" wrapText="1"/>
    </xf>
    <xf numFmtId="0" fontId="13" fillId="0" borderId="0" xfId="0" applyFont="1"/>
    <xf numFmtId="0" fontId="14" fillId="0" borderId="1" xfId="0" applyFont="1" applyBorder="1"/>
    <xf numFmtId="0" fontId="15" fillId="0" borderId="1" xfId="0" applyFont="1" applyBorder="1" applyAlignment="1">
      <alignment horizontal="center"/>
    </xf>
    <xf numFmtId="9" fontId="15" fillId="0" borderId="1" xfId="0" applyNumberFormat="1" applyFont="1" applyBorder="1" applyAlignment="1">
      <alignment horizontal="center"/>
    </xf>
    <xf numFmtId="49" fontId="16" fillId="0" borderId="1" xfId="0" applyNumberFormat="1" applyFont="1" applyBorder="1" applyAlignment="1">
      <alignment horizontal="center" vertical="center" wrapText="1"/>
    </xf>
  </cellXfs>
  <cellStyles count="1">
    <cellStyle name="Normal" xfId="0" builtinId="0"/>
  </cellStyles>
  <dxfs count="181">
    <dxf>
      <font>
        <b val="0"/>
        <i val="0"/>
        <strike val="0"/>
        <condense val="0"/>
        <extend val="0"/>
        <outline val="0"/>
        <shadow val="0"/>
        <u val="none"/>
        <vertAlign val="baseline"/>
        <sz val="9"/>
        <color theme="1"/>
        <name val="Calibri"/>
        <scheme val="none"/>
      </font>
      <numFmt numFmtId="0" formatCode="General"/>
      <alignment horizontal="general"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general" vertical="center" textRotation="0" wrapText="1" indent="0" justifyLastLine="0" shrinkToFit="0" readingOrder="0"/>
      <border diagonalUp="0" diagonalDown="0" outline="0">
        <left style="thin">
          <color rgb="FF000000"/>
        </left>
        <right/>
        <top style="thin">
          <color rgb="FF000000"/>
        </top>
        <bottom/>
      </border>
    </dxf>
    <dxf>
      <font>
        <b val="0"/>
        <i val="0"/>
        <strike val="0"/>
        <condense val="0"/>
        <extend val="0"/>
        <outline val="0"/>
        <shadow val="0"/>
        <u val="none"/>
        <vertAlign val="baseline"/>
        <sz val="9"/>
        <color theme="1"/>
        <name val="Calibri"/>
        <scheme val="none"/>
      </font>
      <numFmt numFmtId="1" formatCode="0"/>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numFmt numFmtId="1" formatCode="0"/>
      <alignment horizontal="center" vertical="center" textRotation="0" wrapText="1" indent="0" justifyLastLine="0" shrinkToFit="0" readingOrder="0"/>
      <border diagonalUp="0" diagonalDown="0" outline="0">
        <left/>
        <right style="thin">
          <color rgb="FF000000"/>
        </right>
        <top style="thin">
          <color rgb="FF000000"/>
        </top>
        <bottom/>
      </border>
    </dxf>
    <dxf>
      <font>
        <b val="0"/>
        <i val="0"/>
        <strike val="0"/>
        <condense val="0"/>
        <extend val="0"/>
        <outline val="0"/>
        <shadow val="0"/>
        <u val="none"/>
        <vertAlign val="baseline"/>
        <sz val="9"/>
        <color theme="1"/>
        <name val="Calibri"/>
        <scheme val="none"/>
      </font>
      <numFmt numFmtId="31" formatCode="[h]:mm:ss"/>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numFmt numFmtId="31" formatCode="[h]:mm:ss"/>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numFmt numFmtId="31" formatCode="[h]:mm:ss"/>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fill>
        <patternFill patternType="solid">
          <fgColor rgb="FFFFFFFF"/>
          <bgColor rgb="FFFFFFFF"/>
        </patternFill>
      </fill>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numFmt numFmtId="31" formatCode="[h]:mm:ss"/>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numFmt numFmtId="31" formatCode="[h]:mm:ss"/>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numFmt numFmtId="166" formatCode="[$-F400]h:mm:ss\ AM/PM"/>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numFmt numFmtId="166" formatCode="[$-F400]h:mm:ss\ AM/PM"/>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Calibri"/>
        <scheme val="none"/>
      </font>
      <numFmt numFmtId="19" formatCode="dd/m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none"/>
      </font>
      <numFmt numFmtId="19" formatCode="dd/mm/yyyy"/>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333333"/>
        <name val="Calibri"/>
        <scheme val="none"/>
      </font>
      <numFmt numFmtId="166" formatCode="[$-F400]h:mm:ss\ AM/PM"/>
      <fill>
        <patternFill patternType="solid">
          <fgColor rgb="FFFFFFFF"/>
          <bgColor rgb="FFFFFFFF"/>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Calibri"/>
        <scheme val="none"/>
      </font>
      <numFmt numFmtId="19" formatCode="dd/m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none"/>
      </font>
      <numFmt numFmtId="19" formatCode="dd/mm/yyyy"/>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numFmt numFmtId="0" formatCode="Genera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i val="0"/>
        <strike val="0"/>
        <condense val="0"/>
        <extend val="0"/>
        <outline val="0"/>
        <shadow val="0"/>
        <u val="none"/>
        <vertAlign val="baseline"/>
        <sz val="10"/>
        <color rgb="FF054F51"/>
        <name val="Calibri"/>
        <scheme val="major"/>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0"/>
        <color rgb="FF054F51"/>
        <name val="Calibri"/>
        <scheme val="none"/>
      </font>
      <numFmt numFmtId="30" formatCode="@"/>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Calibri"/>
        <scheme val="major"/>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Calibri"/>
        <scheme val="major"/>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theme="1"/>
        <name val="Calibri"/>
        <scheme val="none"/>
      </font>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9"/>
        <color rgb="FF000000"/>
        <name val="Calibri"/>
        <scheme val="none"/>
      </font>
      <numFmt numFmtId="164" formatCode="d/m/yyyy"/>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9"/>
        <color rgb="FF000000"/>
        <name val="Calibri"/>
        <scheme val="none"/>
      </font>
      <numFmt numFmtId="164" formatCode="d/m/yyyy"/>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i val="0"/>
        <strike val="0"/>
        <condense val="0"/>
        <extend val="0"/>
        <outline val="0"/>
        <shadow val="0"/>
        <u val="none"/>
        <vertAlign val="baseline"/>
        <sz val="11"/>
        <color rgb="FF356854"/>
        <name val="Calibri"/>
        <scheme val="none"/>
      </font>
      <numFmt numFmtId="30" formatCode="@"/>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i val="0"/>
        <strike val="0"/>
        <condense val="0"/>
        <extend val="0"/>
        <outline val="0"/>
        <shadow val="0"/>
        <u val="none"/>
        <vertAlign val="baseline"/>
        <sz val="11"/>
        <color rgb="FF356854"/>
        <name val="Calibri"/>
        <scheme val="none"/>
      </font>
      <numFmt numFmtId="30" formatCode="@"/>
      <alignment horizontal="center" vertical="center" textRotation="0" wrapText="1" indent="0" justifyLastLine="0" shrinkToFit="0" readingOrder="0"/>
      <border diagonalUp="0" diagonalDown="0" outline="0">
        <left style="thin">
          <color rgb="FF000000"/>
        </left>
        <right style="thin">
          <color rgb="FF000000"/>
        </right>
        <top style="thin">
          <color rgb="FF000000"/>
        </top>
        <bottom/>
      </border>
    </dxf>
    <dxf>
      <border outline="0">
        <top style="thin">
          <color rgb="FF000000"/>
        </top>
      </border>
    </dxf>
    <dxf>
      <border outline="0">
        <right style="thin">
          <color rgb="FF000000"/>
        </right>
        <bottom style="thin">
          <color rgb="FF000000"/>
        </bottom>
      </border>
    </dxf>
    <dxf>
      <fill>
        <patternFill patternType="solid">
          <fgColor rgb="FFB7E1CD"/>
          <bgColor rgb="FFB7E1CD"/>
        </patternFill>
      </fill>
    </dxf>
    <dxf>
      <font>
        <color rgb="FF9C5700"/>
      </font>
      <fill>
        <patternFill>
          <bgColor rgb="FFFFEB9C"/>
        </patternFill>
      </fill>
    </dxf>
    <dxf>
      <font>
        <color theme="1"/>
      </font>
      <fill>
        <patternFill patternType="solid">
          <bgColor theme="5" tint="0.59999389629810485"/>
        </patternFill>
      </fill>
    </dxf>
    <dxf>
      <font>
        <color theme="1"/>
      </font>
      <fill>
        <patternFill patternType="solid">
          <bgColor theme="4" tint="0.59999389629810485"/>
        </patternFill>
      </fill>
    </dxf>
    <dxf>
      <fill>
        <patternFill patternType="solid">
          <fgColor rgb="FFFCE5CD"/>
          <bgColor rgb="FFFCE5CD"/>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D2F1DA"/>
          <bgColor rgb="FFD2F1DA"/>
        </patternFill>
      </fill>
    </dxf>
    <dxf>
      <fill>
        <patternFill patternType="solid">
          <fgColor rgb="FFFDE49A"/>
          <bgColor rgb="FFFDE49A"/>
        </patternFill>
      </fill>
    </dxf>
    <dxf>
      <fill>
        <patternFill patternType="solid">
          <fgColor rgb="FFD8D8D8"/>
          <bgColor rgb="FFD8D8D8"/>
        </patternFill>
      </fill>
    </dxf>
    <dxf>
      <fill>
        <patternFill patternType="solid">
          <fgColor rgb="FFB3CEFA"/>
          <bgColor rgb="FFB3CEFA"/>
        </patternFill>
      </fill>
    </dxf>
    <dxf>
      <font>
        <color theme="1"/>
      </font>
      <fill>
        <patternFill patternType="solid">
          <fgColor rgb="FFFCDC7C"/>
          <bgColor rgb="FFFCDC7C"/>
        </patternFill>
      </fill>
    </dxf>
    <dxf>
      <font>
        <color theme="0"/>
      </font>
      <fill>
        <patternFill patternType="solid">
          <bgColor rgb="FFFF0000"/>
        </patternFill>
      </fill>
    </dxf>
    <dxf>
      <font>
        <color theme="0"/>
      </font>
      <fill>
        <patternFill patternType="solid">
          <bgColor theme="7" tint="-0.249977111117893"/>
        </patternFill>
      </fill>
    </dxf>
    <dxf>
      <font>
        <color theme="1" tint="4.9989318521683403E-2"/>
      </font>
      <fill>
        <patternFill patternType="solid">
          <bgColor rgb="FFB3CEFA"/>
        </patternFill>
      </fill>
    </dxf>
    <dxf>
      <fill>
        <patternFill patternType="solid">
          <fgColor rgb="FFB3CEFA"/>
          <bgColor rgb="FFB3CEFA"/>
        </patternFill>
      </fill>
    </dxf>
    <dxf>
      <fill>
        <patternFill patternType="solid">
          <fgColor rgb="FFA6E3B6"/>
          <bgColor rgb="FFA6E3B6"/>
        </patternFill>
      </fill>
    </dxf>
    <dxf>
      <fill>
        <patternFill patternType="solid">
          <fgColor rgb="FFB4E4E8"/>
          <bgColor rgb="FFB4E4E8"/>
        </patternFill>
      </fill>
    </dxf>
    <dxf>
      <font>
        <color theme="5" tint="-0.499984740745262"/>
      </font>
      <fill>
        <patternFill patternType="solid">
          <bgColor theme="8" tint="0.59999389629810485"/>
        </patternFill>
      </fill>
    </dxf>
    <dxf>
      <font>
        <color theme="1"/>
      </font>
      <fill>
        <patternFill patternType="solid">
          <bgColor rgb="FFE8B5E5"/>
        </patternFill>
      </fill>
    </dxf>
    <dxf>
      <font>
        <color theme="1"/>
      </font>
      <fill>
        <patternFill patternType="solid">
          <bgColor rgb="FF3DFFDF"/>
        </patternFill>
      </fill>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dxf>
    <dxf>
      <font>
        <b val="0"/>
        <i val="0"/>
        <strike val="0"/>
        <condense val="0"/>
        <extend val="0"/>
        <outline val="0"/>
        <shadow val="0"/>
        <u val="none"/>
        <vertAlign val="baseline"/>
        <sz val="10"/>
        <color rgb="FF000000"/>
        <name val="Arial"/>
        <scheme val="none"/>
      </font>
      <alignment horizontal="left" vertical="center" textRotation="0" wrapText="0" indent="0" justifyLastLine="0" shrinkToFit="0" readingOrder="0"/>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fill>
        <patternFill patternType="solid">
          <fgColor rgb="FFE7F9EF"/>
          <bgColor rgb="FFE7F9EF"/>
        </patternFill>
      </fill>
    </dxf>
    <dxf>
      <fill>
        <patternFill patternType="solid">
          <fgColor rgb="FFFFFFFF"/>
          <bgColor rgb="FFFFFFFF"/>
        </patternFill>
      </fill>
    </dxf>
    <dxf>
      <fill>
        <patternFill patternType="solid">
          <fgColor rgb="FF63D297"/>
          <bgColor rgb="FF63D297"/>
        </patternFill>
      </fill>
    </dxf>
  </dxfs>
  <tableStyles count="2">
    <tableStyle name="GENERALIDADES-style" pivot="0" count="3" xr9:uid="{00000000-0011-0000-FFFF-FFFF00000000}">
      <tableStyleElement type="headerRow" dxfId="180"/>
      <tableStyleElement type="firstRowStripe" dxfId="179"/>
      <tableStyleElement type="secondRowStripe" dxfId="178"/>
    </tableStyle>
    <tableStyle name="FORMATO SOLICITUDES CORRECTIVOS-style" pivot="0" count="3" xr9:uid="{00000000-0011-0000-FFFF-FFFF01000000}">
      <tableStyleElement type="headerRow" dxfId="177"/>
      <tableStyleElement type="firstRowStripe" dxfId="176"/>
      <tableStyleElement type="secondRowStripe" dxfId="175"/>
    </tableStyle>
  </tableStyles>
  <colors>
    <mruColors>
      <color rgb="FF3DFFDF"/>
      <color rgb="FFE8B5E5"/>
      <color rgb="FFB3CE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9"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Juan David" id="{354F3876-B055-4880-BC73-705D2DA6DB54}">
    <nsvFilter filterId="{00000000-0001-0000-0100-000000000000}" ref="A1:AF161" tableId="3"/>
  </namedSheetView>
  <namedSheetView name="Victor Lopez" id="{55186144-0D77-43D0-8159-74062B641386}">
    <nsvFilter filterId="{00000000-0001-0000-0100-000000000000}" ref="A1:AF161" tableId="3">
      <columnFilter colId="2" id="{12AF6F20-DE1B-4EA3-BA74-144517E60835}">
        <filter colId="2">
          <x:filters>
            <x:filter val="LARINGOSCOPIO"/>
          </x:filters>
        </filter>
      </columnFilter>
    </nsvFilter>
  </namedSheetView>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P220">
  <tableColumns count="16">
    <tableColumn id="1" xr3:uid="{00000000-0010-0000-0000-000001000000}" name="ORIGEN REPORTE"/>
    <tableColumn id="2" xr3:uid="{00000000-0010-0000-0000-000002000000}" name="CAUSA"/>
    <tableColumn id="3" xr3:uid="{00000000-0010-0000-0000-000003000000}" name="ESTADO"/>
    <tableColumn id="4" xr3:uid="{00000000-0010-0000-0000-000004000000}" name="OPORTUNIDAD (&lt;3 DIAS HABILES)"/>
    <tableColumn id="5" xr3:uid="{00000000-0010-0000-0000-000005000000}" name="RONDAS"/>
    <tableColumn id="6" xr3:uid="{00000000-0010-0000-0000-000006000000}" name="UBICACION"/>
    <tableColumn id="7" xr3:uid="{00000000-0010-0000-0000-000007000000}" name="SERVICIO"/>
    <tableColumn id="8" xr3:uid="{00000000-0010-0000-0000-000008000000}" name="EQUIPOS"/>
    <tableColumn id="9" xr3:uid="{00000000-0010-0000-0000-000009000000}" name="PARADA"/>
    <tableColumn id="10" xr3:uid="{00000000-0010-0000-0000-00000A000000}" name="TIPO DE PARADA"/>
    <tableColumn id="11" xr3:uid="{00000000-0010-0000-0000-00000B000000}" name="PARADA DEL SERVICIO "/>
    <tableColumn id="12" xr3:uid="{00000000-0010-0000-0000-00000C000000}" name="EQUIPO DE CONTINGENCIA "/>
    <tableColumn id="13" xr3:uid="{00000000-0010-0000-0000-00000D000000}" name="EJECUTADO POR"/>
    <tableColumn id="14" xr3:uid="{00000000-0010-0000-0000-00000E000000}" name="ESTADO GMA"/>
    <tableColumn id="15" xr3:uid="{A62CA945-AA8F-4C68-BA49-CB2B53863122}" name="ESTADO DEL EQUIPO" dataDxfId="174"/>
    <tableColumn id="16" xr3:uid="{DFAC27C1-16FA-4856-B457-BCD03A3755C7}" name="ACCESORIOS NUEVOS?" dataDxfId="173"/>
  </tableColumns>
  <tableStyleInfo name="GENERALIDADE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12365D1-14CC-42FD-9378-A5E796BD9E2C}" name="Marzo_2026" displayName="Marzo_2026" ref="A1:AF161" totalsRowShown="0" tableBorderDxfId="62" totalsRowBorderDxfId="61">
  <autoFilter ref="A1:AF161" xr:uid="{00000000-0001-0000-0100-000000000000}"/>
  <tableColumns count="32">
    <tableColumn id="1" xr3:uid="{534F4C5E-0536-437D-A747-FAC03672A630}" name="No. REPORTE" dataDxfId="59" totalsRowDxfId="60"/>
    <tableColumn id="2" xr3:uid="{B72C3E9E-88A6-40EE-8321-2AA178BF926D}" name="FECHA CREACIÓN DE SOLICITUD" dataDxfId="57" totalsRowDxfId="58"/>
    <tableColumn id="3" xr3:uid="{12AF6F20-DE1B-4EA3-BA74-144517E60835}" name="EQUIPO" dataDxfId="55" totalsRowDxfId="56"/>
    <tableColumn id="4" xr3:uid="{93451F08-861E-4B3C-A820-BD3B0EB72BAA}" name="MARCA" dataDxfId="53" totalsRowDxfId="54"/>
    <tableColumn id="5" xr3:uid="{32402A35-5F47-4ECC-A72E-6FAF9B46C9D6}" name="MODELO" dataDxfId="51" totalsRowDxfId="52"/>
    <tableColumn id="6" xr3:uid="{21E5F4FC-E6EC-4060-A7CB-68F462BF0C93}" name="SERIE" dataDxfId="49" totalsRowDxfId="50"/>
    <tableColumn id="7" xr3:uid="{ED5CB738-55C0-4B5F-AD90-4820573789D0}" name="ACTIVO FIJO " dataDxfId="47" totalsRowDxfId="48"/>
    <tableColumn id="8" xr3:uid="{50FBBF01-3460-4B61-B1CA-D56E52C18983}" name="SERVICIO" dataDxfId="45" totalsRowDxfId="46"/>
    <tableColumn id="9" xr3:uid="{513D8F9C-2A60-4EA1-A9F7-147C2EDE3C6A}" name="UBICACIÓN" dataDxfId="43" totalsRowDxfId="44"/>
    <tableColumn id="10" xr3:uid="{4391BBFE-CBEC-48DF-9CBE-E7BE918D46E8}" name="DESCRIPCIÓN DE DAÑO" dataDxfId="41" totalsRowDxfId="42"/>
    <tableColumn id="11" xr3:uid="{A6D75447-0F6F-42C5-A5F6-2732383974BC}" name="ACCIÓN REALIZADA" dataDxfId="39" totalsRowDxfId="40">
      <calculatedColumnFormula>LOWER(Marzo_2026[[#This Row],[DESCRIPCIÓN DE DAÑO]])</calculatedColumnFormula>
    </tableColumn>
    <tableColumn id="12" xr3:uid="{6597BC53-0BE9-4DD5-86FE-1280F36CA424}" name="EJECUTADO POR" dataDxfId="37" totalsRowDxfId="38"/>
    <tableColumn id="13" xr3:uid="{43EAFDB7-6CDC-4E79-AE6A-06D8372750A0}" name="FECHA DE ATENCIÓN A LA SOLICITUD" dataDxfId="35" totalsRowDxfId="36"/>
    <tableColumn id="14" xr3:uid="{B69ECA63-29DA-4045-B2D5-E006F2A1FB52}" name="ESTADO EN GMA SOPORTE" dataDxfId="33" totalsRowDxfId="34"/>
    <tableColumn id="15" xr3:uid="{219613C7-22F9-4816-BF23-E75C20A42557}" name="ESTADO DEL EQUIPO" dataDxfId="31" totalsRowDxfId="32"/>
    <tableColumn id="16" xr3:uid="{D4478EB8-098C-4BBB-8CDC-FBD26E4AE7A0}" name="OPORTUNIDAD" dataDxfId="30">
      <calculatedColumnFormula>M2-B2</calculatedColumnFormula>
    </tableColumn>
    <tableColumn id="17" xr3:uid="{6C6FB22C-1FD3-43F7-9E1F-AD42AA9B6691}" name="FECHA DE CIERRE A LA SOLICITUD" dataDxfId="28" totalsRowDxfId="29"/>
    <tableColumn id="18" xr3:uid="{6EFFA9EA-9105-4EBF-A0BF-E8A4F62686CB}" name="TIEMPO DE CIERRE A LA SOLICITUD" dataDxfId="26" totalsRowDxfId="27">
      <calculatedColumnFormula>IF(Q2-B2&lt;0,NOW()-B2,Q2-B2)</calculatedColumnFormula>
    </tableColumn>
    <tableColumn id="19" xr3:uid="{A51016E1-77D0-40F0-8A21-5763F24896A6}" name="PARADA DEL EQUIPO" dataDxfId="24" totalsRowDxfId="25"/>
    <tableColumn id="20" xr3:uid="{E2064F1C-CED9-471D-BBA8-1CACAB8D74FF}" name="TIPO DE PARADA " dataDxfId="22" totalsRowDxfId="23"/>
    <tableColumn id="21" xr3:uid="{EBDBF8BB-37B2-4934-846B-D33A9278EC81}" name="TIEMPO DE PARADA DEL EQUIPO" dataDxfId="20" totalsRowDxfId="21">
      <calculatedColumnFormula>IF(R2=GENERALIDADES!$I$1,#REF!,"0")</calculatedColumnFormula>
    </tableColumn>
    <tableColumn id="22" xr3:uid="{0F53E793-FFBC-49E3-B9B9-50A1DE83F218}" name="PARADA DEL SERVICIO" dataDxfId="18" totalsRowDxfId="19"/>
    <tableColumn id="23" xr3:uid="{06B11FFE-16FD-4C3C-8C01-ED7C37C85052}" name="EQUIPO DE CONTINGENCIA" dataDxfId="16" totalsRowDxfId="17"/>
    <tableColumn id="24" xr3:uid="{833F457B-F85D-4DD3-AE6A-E94EEA741DC3}" name="TIEMPO DE PARA DEL SERVICIO" dataDxfId="14" totalsRowDxfId="15">
      <calculatedColumnFormula>IF(U2=GENERALIDADES!$K$3,T2,"0")</calculatedColumnFormula>
    </tableColumn>
    <tableColumn id="25" xr3:uid="{862D6844-808B-4557-8A2B-B22B0F500377}" name="CAUSA" dataDxfId="12" totalsRowDxfId="13"/>
    <tableColumn id="32" xr3:uid="{BC0A140B-3AD1-4450-A776-11213AAD1C10}" name="ACCESORIO NUEVO?" dataDxfId="10" totalsRowDxfId="11"/>
    <tableColumn id="26" xr3:uid="{AD4E70EA-A14D-49D7-92FC-0439B32C6B86}" name="OBSERVACIONES" dataDxfId="8" totalsRowDxfId="9"/>
    <tableColumn id="27" xr3:uid="{9337A7AE-937F-45AA-88B9-FB9B746530F9}" name="COMENTARIOS ADICIONALES" dataDxfId="7"/>
    <tableColumn id="28" xr3:uid="{34847B2E-6416-4313-A9D3-1217D9AF310B}" name="ESTADO" dataDxfId="5" totalsRowDxfId="6"/>
    <tableColumn id="29" xr3:uid="{A07DE0E2-2C6C-4127-9907-0F36E1404EA3}" name="Tiempo de Oportunidad (horas)" dataDxfId="4">
      <calculatedColumnFormula>M2-B2</calculatedColumnFormula>
    </tableColumn>
    <tableColumn id="30" xr3:uid="{DF92292D-BB8B-4778-9EFF-7D121AAB36C1}" name="Tiempo de Parada(dias)" dataDxfId="2" totalsRowDxfId="3">
      <calculatedColumnFormula>NETWORKDAYS(B2,Q2,)</calculatedColumnFormula>
    </tableColumn>
    <tableColumn id="31" xr3:uid="{5ADE5358-EECA-4AE1-B2E8-FE096FBD1FEE}" name="Capacidad_Respuesta (&lt;3_DIA)" dataDxfId="0" totalsRowDxfId="1">
      <calculatedColumnFormula>IF(AND((NETWORKDAYS(B2,M2,)&lt;=3),(NOT(ISBLANK(B2)))),TRUE(), FALSE())</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1.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pane ySplit="1" topLeftCell="A2" activePane="bottomLeft" state="frozen"/>
      <selection pane="bottomLeft" activeCell="F1" sqref="F1"/>
    </sheetView>
  </sheetViews>
  <sheetFormatPr defaultColWidth="12.5703125" defaultRowHeight="15" customHeight="1"/>
  <cols>
    <col min="1" max="1" width="26.140625" customWidth="1"/>
    <col min="2" max="2" width="37" customWidth="1"/>
    <col min="3" max="3" width="35.5703125" customWidth="1"/>
    <col min="4" max="4" width="19.42578125" customWidth="1"/>
    <col min="5" max="5" width="15.28515625" customWidth="1"/>
    <col min="6" max="6" width="25.7109375" hidden="1" customWidth="1"/>
    <col min="7" max="7" width="58.28515625" customWidth="1"/>
    <col min="8" max="8" width="42.7109375" customWidth="1"/>
    <col min="12" max="12" width="14.42578125" customWidth="1"/>
    <col min="13" max="13" width="17.140625" customWidth="1"/>
    <col min="14" max="14" width="31.28515625" customWidth="1"/>
    <col min="15" max="15" width="29.42578125" customWidth="1"/>
    <col min="16" max="16" width="21" customWidth="1"/>
  </cols>
  <sheetData>
    <row r="1" spans="1:26" ht="33.75" customHeight="1">
      <c r="A1" s="32" t="s">
        <v>0</v>
      </c>
      <c r="B1" s="1" t="s">
        <v>1</v>
      </c>
      <c r="C1" s="1" t="s">
        <v>2</v>
      </c>
      <c r="D1" s="1" t="s">
        <v>3</v>
      </c>
      <c r="E1" s="1" t="s">
        <v>4</v>
      </c>
      <c r="F1" s="1" t="s">
        <v>5</v>
      </c>
      <c r="G1" s="1" t="s">
        <v>6</v>
      </c>
      <c r="H1" s="1" t="s">
        <v>7</v>
      </c>
      <c r="I1" s="1" t="s">
        <v>8</v>
      </c>
      <c r="J1" s="1" t="s">
        <v>9</v>
      </c>
      <c r="K1" s="1" t="s">
        <v>10</v>
      </c>
      <c r="L1" s="1" t="s">
        <v>11</v>
      </c>
      <c r="M1" s="29" t="s">
        <v>12</v>
      </c>
      <c r="N1" s="1" t="s">
        <v>13</v>
      </c>
      <c r="O1" s="1" t="s">
        <v>14</v>
      </c>
      <c r="P1" s="2" t="s">
        <v>15</v>
      </c>
      <c r="Q1" s="2"/>
      <c r="R1" s="2"/>
      <c r="S1" s="2"/>
      <c r="T1" s="2"/>
      <c r="U1" s="2"/>
      <c r="V1" s="2"/>
      <c r="W1" s="2"/>
      <c r="X1" s="2"/>
      <c r="Y1" s="3"/>
      <c r="Z1" s="3"/>
    </row>
    <row r="2" spans="1:26" ht="15.75" customHeight="1">
      <c r="A2" s="4" t="s">
        <v>16</v>
      </c>
      <c r="B2" s="30" t="s">
        <v>17</v>
      </c>
      <c r="C2" s="4" t="s">
        <v>18</v>
      </c>
      <c r="D2" s="4">
        <v>3</v>
      </c>
      <c r="E2" s="4" t="s">
        <v>19</v>
      </c>
      <c r="F2" s="4" t="s">
        <v>20</v>
      </c>
      <c r="G2" s="4" t="s">
        <v>21</v>
      </c>
      <c r="H2" s="4" t="s">
        <v>22</v>
      </c>
      <c r="I2" s="4" t="s">
        <v>23</v>
      </c>
      <c r="J2" s="4" t="s">
        <v>24</v>
      </c>
      <c r="K2" s="4" t="s">
        <v>23</v>
      </c>
      <c r="L2" s="4" t="s">
        <v>25</v>
      </c>
      <c r="M2" s="25" t="s">
        <v>26</v>
      </c>
      <c r="N2" s="5" t="s">
        <v>27</v>
      </c>
      <c r="O2" s="51" t="s">
        <v>28</v>
      </c>
      <c r="P2" s="5" t="s">
        <v>29</v>
      </c>
      <c r="Q2" s="3"/>
      <c r="R2" s="3"/>
      <c r="S2" s="3"/>
      <c r="T2" s="3"/>
      <c r="U2" s="3"/>
      <c r="V2" s="3"/>
      <c r="W2" s="3"/>
      <c r="X2" s="3"/>
      <c r="Y2" s="3"/>
      <c r="Z2" s="3"/>
    </row>
    <row r="3" spans="1:26" ht="15.75" customHeight="1">
      <c r="A3" s="4" t="s">
        <v>30</v>
      </c>
      <c r="B3" s="30" t="s">
        <v>31</v>
      </c>
      <c r="C3" s="4" t="s">
        <v>32</v>
      </c>
      <c r="D3" s="4"/>
      <c r="E3" s="4" t="s">
        <v>33</v>
      </c>
      <c r="F3" s="4" t="s">
        <v>34</v>
      </c>
      <c r="G3" s="4" t="s">
        <v>35</v>
      </c>
      <c r="H3" s="4" t="s">
        <v>36</v>
      </c>
      <c r="I3" s="4" t="s">
        <v>37</v>
      </c>
      <c r="J3" s="4" t="s">
        <v>38</v>
      </c>
      <c r="K3" s="4" t="s">
        <v>39</v>
      </c>
      <c r="L3" s="4" t="s">
        <v>38</v>
      </c>
      <c r="M3" s="25" t="s">
        <v>40</v>
      </c>
      <c r="N3" s="5" t="s">
        <v>41</v>
      </c>
      <c r="O3" s="51" t="s">
        <v>42</v>
      </c>
      <c r="P3" s="5" t="s">
        <v>39</v>
      </c>
      <c r="Q3" s="3"/>
      <c r="R3" s="3"/>
      <c r="S3" s="3"/>
      <c r="T3" s="3"/>
      <c r="U3" s="3"/>
      <c r="V3" s="3"/>
      <c r="W3" s="3"/>
      <c r="X3" s="3"/>
      <c r="Y3" s="3"/>
      <c r="Z3" s="3"/>
    </row>
    <row r="4" spans="1:26" ht="15.75" customHeight="1">
      <c r="A4" s="5"/>
      <c r="B4" s="30" t="s">
        <v>43</v>
      </c>
      <c r="C4" s="4" t="s">
        <v>44</v>
      </c>
      <c r="D4" s="4"/>
      <c r="E4" s="4"/>
      <c r="F4" s="4" t="s">
        <v>45</v>
      </c>
      <c r="G4" s="4" t="s">
        <v>46</v>
      </c>
      <c r="H4" s="4" t="s">
        <v>47</v>
      </c>
      <c r="I4" s="4"/>
      <c r="J4" s="4" t="s">
        <v>48</v>
      </c>
      <c r="K4" s="4"/>
      <c r="L4" s="6" t="s">
        <v>37</v>
      </c>
      <c r="M4" s="7" t="s">
        <v>49</v>
      </c>
      <c r="N4" s="5" t="s">
        <v>50</v>
      </c>
      <c r="O4" s="5" t="s">
        <v>51</v>
      </c>
      <c r="P4" s="3"/>
      <c r="Q4" s="3"/>
      <c r="R4" s="3"/>
      <c r="S4" s="3"/>
      <c r="T4" s="3"/>
      <c r="U4" s="3"/>
      <c r="V4" s="3"/>
      <c r="W4" s="3"/>
      <c r="X4" s="3"/>
      <c r="Y4" s="3"/>
      <c r="Z4" s="3"/>
    </row>
    <row r="5" spans="1:26" ht="15.75" customHeight="1">
      <c r="A5" s="5"/>
      <c r="B5" s="31" t="s">
        <v>52</v>
      </c>
      <c r="C5" s="4" t="s">
        <v>53</v>
      </c>
      <c r="D5" s="4"/>
      <c r="E5" s="4"/>
      <c r="F5" s="4" t="s">
        <v>54</v>
      </c>
      <c r="G5" s="5" t="s">
        <v>55</v>
      </c>
      <c r="H5" s="4" t="s">
        <v>56</v>
      </c>
      <c r="I5" s="4"/>
      <c r="J5" s="4"/>
      <c r="K5" s="4"/>
      <c r="L5" s="4"/>
      <c r="M5" s="25" t="s">
        <v>57</v>
      </c>
      <c r="N5" s="5" t="s">
        <v>58</v>
      </c>
      <c r="O5" s="5"/>
      <c r="P5" s="3"/>
      <c r="Q5" s="3"/>
      <c r="R5" s="3"/>
      <c r="S5" s="3"/>
      <c r="T5" s="3"/>
      <c r="U5" s="3"/>
      <c r="V5" s="3"/>
      <c r="W5" s="3"/>
      <c r="X5" s="3"/>
      <c r="Y5" s="3"/>
      <c r="Z5" s="3"/>
    </row>
    <row r="6" spans="1:26" ht="15.75" customHeight="1">
      <c r="A6" s="4"/>
      <c r="B6" s="30" t="s">
        <v>59</v>
      </c>
      <c r="C6" s="4" t="s">
        <v>60</v>
      </c>
      <c r="D6" s="4"/>
      <c r="E6" s="4"/>
      <c r="F6" s="4" t="s">
        <v>61</v>
      </c>
      <c r="G6" s="4" t="s">
        <v>62</v>
      </c>
      <c r="H6" s="4" t="s">
        <v>63</v>
      </c>
      <c r="I6" s="4"/>
      <c r="J6" s="4"/>
      <c r="K6" s="4"/>
      <c r="L6" s="4"/>
      <c r="M6" s="25" t="s">
        <v>64</v>
      </c>
      <c r="N6" s="5" t="s">
        <v>65</v>
      </c>
      <c r="O6" s="5"/>
      <c r="P6" s="3"/>
      <c r="Q6" s="3"/>
      <c r="R6" s="3"/>
      <c r="S6" s="3"/>
      <c r="T6" s="3"/>
      <c r="U6" s="3"/>
      <c r="V6" s="3"/>
      <c r="W6" s="3"/>
      <c r="X6" s="3"/>
      <c r="Y6" s="3"/>
      <c r="Z6" s="3"/>
    </row>
    <row r="7" spans="1:26" ht="15.75" customHeight="1">
      <c r="A7" s="5"/>
      <c r="B7" s="30" t="s">
        <v>66</v>
      </c>
      <c r="C7" s="4" t="s">
        <v>67</v>
      </c>
      <c r="D7" s="4"/>
      <c r="E7" s="4"/>
      <c r="F7" s="4" t="s">
        <v>68</v>
      </c>
      <c r="G7" s="4" t="s">
        <v>69</v>
      </c>
      <c r="H7" s="4" t="s">
        <v>70</v>
      </c>
      <c r="I7" s="4"/>
      <c r="J7" s="4"/>
      <c r="K7" s="4"/>
      <c r="L7" s="4"/>
      <c r="M7" s="25" t="s">
        <v>71</v>
      </c>
      <c r="N7" s="5" t="s">
        <v>72</v>
      </c>
      <c r="O7" s="5"/>
      <c r="P7" s="3"/>
      <c r="Q7" s="3"/>
      <c r="R7" s="3"/>
      <c r="S7" s="3"/>
      <c r="T7" s="3"/>
      <c r="U7" s="3"/>
      <c r="V7" s="3"/>
      <c r="W7" s="3"/>
      <c r="X7" s="3"/>
      <c r="Y7" s="3"/>
      <c r="Z7" s="3"/>
    </row>
    <row r="8" spans="1:26" ht="15.75" customHeight="1">
      <c r="A8" s="4"/>
      <c r="B8" s="30" t="s">
        <v>73</v>
      </c>
      <c r="C8" s="4" t="s">
        <v>74</v>
      </c>
      <c r="D8" s="4"/>
      <c r="E8" s="4"/>
      <c r="F8" s="4" t="s">
        <v>75</v>
      </c>
      <c r="G8" s="4" t="s">
        <v>76</v>
      </c>
      <c r="H8" s="4" t="s">
        <v>77</v>
      </c>
      <c r="I8" s="4"/>
      <c r="J8" s="4"/>
      <c r="K8" s="4"/>
      <c r="L8" s="4"/>
      <c r="M8" s="25"/>
      <c r="N8" s="5" t="s">
        <v>78</v>
      </c>
      <c r="O8" s="5"/>
      <c r="P8" s="3"/>
      <c r="Q8" s="3"/>
      <c r="R8" s="3"/>
      <c r="S8" s="3"/>
      <c r="T8" s="3"/>
      <c r="U8" s="3"/>
      <c r="V8" s="3"/>
      <c r="W8" s="3"/>
      <c r="X8" s="3"/>
      <c r="Y8" s="3"/>
      <c r="Z8" s="3"/>
    </row>
    <row r="9" spans="1:26" ht="15.75" customHeight="1">
      <c r="A9" s="4"/>
      <c r="B9" s="30" t="s">
        <v>79</v>
      </c>
      <c r="C9" s="4"/>
      <c r="D9" s="4"/>
      <c r="E9" s="4"/>
      <c r="F9" s="4" t="s">
        <v>80</v>
      </c>
      <c r="G9" s="5" t="s">
        <v>81</v>
      </c>
      <c r="H9" s="4" t="s">
        <v>82</v>
      </c>
      <c r="I9" s="4"/>
      <c r="J9" s="4"/>
      <c r="K9" s="4"/>
      <c r="L9" s="4"/>
      <c r="M9" s="25"/>
      <c r="N9" s="5" t="s">
        <v>83</v>
      </c>
      <c r="O9" s="5"/>
      <c r="P9" s="3"/>
      <c r="Q9" s="3"/>
      <c r="R9" s="3"/>
      <c r="S9" s="3"/>
      <c r="T9" s="3"/>
      <c r="U9" s="3"/>
      <c r="V9" s="3"/>
      <c r="W9" s="3"/>
      <c r="X9" s="3"/>
      <c r="Y9" s="3"/>
      <c r="Z9" s="3"/>
    </row>
    <row r="10" spans="1:26" ht="15.75" customHeight="1">
      <c r="A10" s="4"/>
      <c r="B10" s="30" t="s">
        <v>84</v>
      </c>
      <c r="C10" s="4"/>
      <c r="D10" s="4"/>
      <c r="E10" s="4"/>
      <c r="F10" s="4" t="s">
        <v>85</v>
      </c>
      <c r="G10" s="5" t="s">
        <v>86</v>
      </c>
      <c r="H10" s="4" t="s">
        <v>87</v>
      </c>
      <c r="I10" s="4"/>
      <c r="J10" s="4"/>
      <c r="K10" s="4"/>
      <c r="L10" s="4"/>
      <c r="M10" s="25"/>
      <c r="N10" s="5"/>
      <c r="O10" s="5"/>
      <c r="P10" s="3"/>
      <c r="Q10" s="3"/>
      <c r="R10" s="3"/>
      <c r="S10" s="3"/>
      <c r="T10" s="3"/>
      <c r="U10" s="3"/>
      <c r="V10" s="3"/>
      <c r="W10" s="3"/>
      <c r="X10" s="3"/>
      <c r="Y10" s="3"/>
      <c r="Z10" s="3"/>
    </row>
    <row r="11" spans="1:26" ht="15.75" customHeight="1">
      <c r="A11" s="4"/>
      <c r="B11" s="30" t="s">
        <v>88</v>
      </c>
      <c r="C11" s="4"/>
      <c r="D11" s="4"/>
      <c r="E11" s="4"/>
      <c r="F11" s="4" t="s">
        <v>89</v>
      </c>
      <c r="G11" s="5" t="s">
        <v>90</v>
      </c>
      <c r="H11" s="5" t="s">
        <v>91</v>
      </c>
      <c r="I11" s="4"/>
      <c r="J11" s="4"/>
      <c r="K11" s="4"/>
      <c r="L11" s="4"/>
      <c r="M11" s="25"/>
      <c r="N11" s="5"/>
      <c r="O11" s="5"/>
      <c r="P11" s="3"/>
      <c r="Q11" s="3"/>
      <c r="R11" s="3"/>
      <c r="S11" s="3"/>
      <c r="T11" s="3"/>
      <c r="U11" s="3"/>
      <c r="V11" s="3"/>
      <c r="W11" s="3"/>
      <c r="X11" s="3"/>
      <c r="Y11" s="3"/>
      <c r="Z11" s="3"/>
    </row>
    <row r="12" spans="1:26" ht="15.75" customHeight="1">
      <c r="A12" s="4"/>
      <c r="B12" s="30" t="s">
        <v>92</v>
      </c>
      <c r="C12" s="4"/>
      <c r="D12" s="4"/>
      <c r="E12" s="4"/>
      <c r="F12" s="4" t="s">
        <v>93</v>
      </c>
      <c r="G12" s="5" t="s">
        <v>94</v>
      </c>
      <c r="H12" s="4" t="s">
        <v>95</v>
      </c>
      <c r="I12" s="4"/>
      <c r="J12" s="4"/>
      <c r="K12" s="4"/>
      <c r="L12" s="4"/>
      <c r="M12" s="25"/>
      <c r="N12" s="5"/>
      <c r="O12" s="5"/>
      <c r="P12" s="3"/>
      <c r="Q12" s="3"/>
      <c r="R12" s="3"/>
      <c r="S12" s="3"/>
      <c r="T12" s="3"/>
      <c r="U12" s="3"/>
      <c r="V12" s="3"/>
      <c r="W12" s="3"/>
      <c r="X12" s="3"/>
      <c r="Y12" s="3"/>
      <c r="Z12" s="3"/>
    </row>
    <row r="13" spans="1:26" ht="15.75" customHeight="1">
      <c r="A13" s="4"/>
      <c r="B13" s="30" t="s">
        <v>96</v>
      </c>
      <c r="C13" s="4"/>
      <c r="D13" s="4"/>
      <c r="E13" s="4"/>
      <c r="F13" s="4" t="s">
        <v>97</v>
      </c>
      <c r="G13" s="5" t="s">
        <v>98</v>
      </c>
      <c r="H13" s="4" t="s">
        <v>99</v>
      </c>
      <c r="I13" s="4"/>
      <c r="J13" s="4"/>
      <c r="K13" s="4"/>
      <c r="L13" s="4"/>
      <c r="M13" s="25"/>
      <c r="N13" s="5"/>
      <c r="O13" s="5"/>
      <c r="P13" s="3"/>
      <c r="Q13" s="3"/>
      <c r="R13" s="3"/>
      <c r="S13" s="3"/>
      <c r="T13" s="3"/>
      <c r="U13" s="3"/>
      <c r="V13" s="3"/>
      <c r="W13" s="3"/>
      <c r="X13" s="3"/>
      <c r="Y13" s="3"/>
      <c r="Z13" s="3"/>
    </row>
    <row r="14" spans="1:26" ht="15.75" customHeight="1">
      <c r="A14" s="5"/>
      <c r="B14" s="30" t="s">
        <v>100</v>
      </c>
      <c r="C14" s="4"/>
      <c r="D14" s="4"/>
      <c r="E14" s="4"/>
      <c r="F14" s="4" t="s">
        <v>101</v>
      </c>
      <c r="G14" s="5" t="s">
        <v>102</v>
      </c>
      <c r="H14" s="4" t="s">
        <v>103</v>
      </c>
      <c r="I14" s="4"/>
      <c r="J14" s="4"/>
      <c r="K14" s="4"/>
      <c r="L14" s="4"/>
      <c r="M14" s="25"/>
      <c r="N14" s="5"/>
      <c r="O14" s="5"/>
      <c r="P14" s="3"/>
      <c r="Q14" s="3"/>
      <c r="R14" s="3"/>
      <c r="S14" s="3"/>
      <c r="T14" s="3"/>
      <c r="U14" s="3"/>
      <c r="V14" s="3"/>
      <c r="W14" s="3"/>
      <c r="X14" s="3"/>
      <c r="Y14" s="3"/>
      <c r="Z14" s="3"/>
    </row>
    <row r="15" spans="1:26" ht="15.75" customHeight="1">
      <c r="A15" s="5"/>
      <c r="B15" s="30" t="s">
        <v>104</v>
      </c>
      <c r="C15" s="4"/>
      <c r="D15" s="4"/>
      <c r="E15" s="4"/>
      <c r="F15" s="4" t="s">
        <v>105</v>
      </c>
      <c r="G15" s="5" t="s">
        <v>106</v>
      </c>
      <c r="H15" s="4" t="s">
        <v>107</v>
      </c>
      <c r="I15" s="4"/>
      <c r="J15" s="4"/>
      <c r="K15" s="4"/>
      <c r="L15" s="4"/>
      <c r="M15" s="25"/>
      <c r="N15" s="5"/>
      <c r="O15" s="5"/>
      <c r="P15" s="3"/>
      <c r="Q15" s="3"/>
      <c r="R15" s="3"/>
      <c r="S15" s="3"/>
      <c r="T15" s="3"/>
      <c r="U15" s="3"/>
      <c r="V15" s="3"/>
      <c r="W15" s="3"/>
      <c r="X15" s="3"/>
      <c r="Y15" s="3"/>
      <c r="Z15" s="3"/>
    </row>
    <row r="16" spans="1:26" ht="15.75" customHeight="1">
      <c r="A16" s="33"/>
      <c r="B16" s="5" t="s">
        <v>108</v>
      </c>
      <c r="C16" s="5"/>
      <c r="D16" s="4"/>
      <c r="E16" s="4"/>
      <c r="F16" s="4" t="s">
        <v>109</v>
      </c>
      <c r="G16" s="5" t="s">
        <v>110</v>
      </c>
      <c r="H16" s="3" t="s">
        <v>111</v>
      </c>
      <c r="I16" s="4"/>
      <c r="J16" s="5"/>
      <c r="K16" s="4"/>
      <c r="L16" s="5"/>
      <c r="M16" s="5"/>
      <c r="N16" s="3"/>
      <c r="O16" s="3"/>
      <c r="P16" s="3"/>
      <c r="Q16" s="3"/>
      <c r="R16" s="3"/>
      <c r="S16" s="3"/>
      <c r="T16" s="3"/>
      <c r="U16" s="3"/>
      <c r="V16" s="3"/>
      <c r="W16" s="3"/>
      <c r="X16" s="3"/>
      <c r="Y16" s="3"/>
      <c r="Z16" s="3"/>
    </row>
    <row r="17" spans="1:26" ht="15.75" customHeight="1">
      <c r="A17" s="5"/>
      <c r="B17" s="5" t="s">
        <v>112</v>
      </c>
      <c r="C17" s="5"/>
      <c r="D17" s="4"/>
      <c r="E17" s="5"/>
      <c r="F17" s="4" t="s">
        <v>113</v>
      </c>
      <c r="G17" s="5" t="s">
        <v>114</v>
      </c>
      <c r="H17" s="5" t="s">
        <v>115</v>
      </c>
      <c r="I17" s="5"/>
      <c r="J17" s="5"/>
      <c r="K17" s="5"/>
      <c r="L17" s="5"/>
      <c r="M17" s="5"/>
      <c r="N17" s="3"/>
      <c r="O17" s="3"/>
      <c r="P17" s="3"/>
      <c r="Q17" s="3"/>
      <c r="R17" s="3"/>
      <c r="S17" s="3"/>
      <c r="T17" s="3"/>
      <c r="U17" s="3"/>
      <c r="V17" s="3"/>
      <c r="W17" s="3"/>
      <c r="X17" s="3"/>
      <c r="Y17" s="3"/>
      <c r="Z17" s="3"/>
    </row>
    <row r="18" spans="1:26" ht="15.75" customHeight="1">
      <c r="A18" s="4"/>
      <c r="B18" s="5" t="s">
        <v>116</v>
      </c>
      <c r="C18" s="4"/>
      <c r="D18" s="4"/>
      <c r="E18" s="4"/>
      <c r="F18" s="4"/>
      <c r="G18" s="4" t="s">
        <v>117</v>
      </c>
      <c r="H18" s="5" t="s">
        <v>118</v>
      </c>
      <c r="I18" s="4"/>
      <c r="J18" s="4"/>
      <c r="K18" s="4"/>
      <c r="L18" s="4"/>
      <c r="M18" s="4"/>
      <c r="N18" s="3"/>
      <c r="O18" s="3"/>
      <c r="P18" s="3"/>
      <c r="Q18" s="3"/>
      <c r="R18" s="3"/>
      <c r="S18" s="3"/>
      <c r="T18" s="3"/>
      <c r="U18" s="3"/>
      <c r="V18" s="3"/>
      <c r="W18" s="3"/>
      <c r="X18" s="3"/>
      <c r="Y18" s="3"/>
      <c r="Z18" s="3"/>
    </row>
    <row r="19" spans="1:26" ht="15.75" customHeight="1">
      <c r="A19" s="8"/>
      <c r="B19" s="8"/>
      <c r="C19" s="8"/>
      <c r="D19" s="8"/>
      <c r="E19" s="8"/>
      <c r="F19" s="8"/>
      <c r="G19" s="4" t="s">
        <v>119</v>
      </c>
      <c r="H19" s="4" t="s">
        <v>120</v>
      </c>
      <c r="I19" s="8"/>
      <c r="J19" s="8"/>
      <c r="K19" s="8"/>
      <c r="L19" s="8"/>
      <c r="M19" s="8"/>
      <c r="N19" s="3"/>
      <c r="O19" s="3"/>
      <c r="P19" s="3"/>
      <c r="Q19" s="3"/>
      <c r="R19" s="3"/>
      <c r="S19" s="3"/>
      <c r="T19" s="3"/>
      <c r="U19" s="3"/>
      <c r="V19" s="3"/>
      <c r="W19" s="3"/>
      <c r="X19" s="3"/>
      <c r="Y19" s="3"/>
      <c r="Z19" s="3"/>
    </row>
    <row r="20" spans="1:26" ht="15.75" customHeight="1">
      <c r="A20" s="8"/>
      <c r="B20" s="8"/>
      <c r="C20" s="8"/>
      <c r="D20" s="8"/>
      <c r="E20" s="8"/>
      <c r="F20" s="8"/>
      <c r="G20" s="4" t="s">
        <v>121</v>
      </c>
      <c r="H20" s="4" t="s">
        <v>122</v>
      </c>
      <c r="I20" s="8"/>
      <c r="J20" s="8"/>
      <c r="K20" s="8"/>
      <c r="L20" s="8"/>
      <c r="M20" s="8"/>
      <c r="N20" s="3"/>
      <c r="O20" s="3"/>
      <c r="P20" s="3"/>
      <c r="Q20" s="3"/>
      <c r="R20" s="3"/>
      <c r="S20" s="3"/>
      <c r="T20" s="3"/>
      <c r="U20" s="3"/>
      <c r="V20" s="3"/>
      <c r="W20" s="3"/>
      <c r="X20" s="3"/>
      <c r="Y20" s="3"/>
      <c r="Z20" s="3"/>
    </row>
    <row r="21" spans="1:26" ht="15.75" customHeight="1">
      <c r="A21" s="8"/>
      <c r="B21" s="8"/>
      <c r="C21" s="8"/>
      <c r="D21" s="8"/>
      <c r="E21" s="8"/>
      <c r="F21" s="8"/>
      <c r="G21" s="4" t="s">
        <v>123</v>
      </c>
      <c r="H21" s="4" t="s">
        <v>124</v>
      </c>
      <c r="I21" s="8"/>
      <c r="J21" s="8"/>
      <c r="K21" s="8"/>
      <c r="L21" s="8"/>
      <c r="M21" s="8"/>
      <c r="N21" s="3"/>
      <c r="O21" s="3"/>
      <c r="P21" s="3"/>
      <c r="Q21" s="3"/>
      <c r="R21" s="3"/>
      <c r="S21" s="3"/>
      <c r="T21" s="3"/>
      <c r="U21" s="3"/>
      <c r="V21" s="3"/>
      <c r="W21" s="3"/>
      <c r="X21" s="3"/>
      <c r="Y21" s="3"/>
      <c r="Z21" s="3"/>
    </row>
    <row r="22" spans="1:26" ht="15.75" customHeight="1">
      <c r="A22" s="8"/>
      <c r="B22" s="8"/>
      <c r="C22" s="8"/>
      <c r="D22" s="8"/>
      <c r="E22" s="8"/>
      <c r="F22" s="8"/>
      <c r="G22" s="4" t="s">
        <v>125</v>
      </c>
      <c r="H22" s="4" t="s">
        <v>126</v>
      </c>
      <c r="I22" s="8"/>
      <c r="J22" s="8"/>
      <c r="K22" s="8"/>
      <c r="L22" s="8"/>
      <c r="M22" s="8"/>
      <c r="N22" s="3"/>
      <c r="O22" s="3"/>
      <c r="P22" s="3"/>
      <c r="Q22" s="3"/>
      <c r="R22" s="3"/>
      <c r="S22" s="3"/>
      <c r="T22" s="3"/>
      <c r="U22" s="3"/>
      <c r="V22" s="3"/>
      <c r="W22" s="3"/>
      <c r="X22" s="3"/>
      <c r="Y22" s="3"/>
      <c r="Z22" s="3"/>
    </row>
    <row r="23" spans="1:26" ht="15.75" customHeight="1">
      <c r="A23" s="8"/>
      <c r="B23" s="8"/>
      <c r="C23" s="8"/>
      <c r="D23" s="8"/>
      <c r="E23" s="8"/>
      <c r="F23" s="8"/>
      <c r="G23" s="5" t="s">
        <v>127</v>
      </c>
      <c r="H23" s="4" t="s">
        <v>128</v>
      </c>
      <c r="I23" s="8"/>
      <c r="J23" s="8"/>
      <c r="K23" s="8"/>
      <c r="L23" s="8"/>
      <c r="M23" s="8"/>
      <c r="N23" s="3"/>
      <c r="O23" s="3"/>
      <c r="P23" s="3"/>
      <c r="Q23" s="3"/>
      <c r="R23" s="3"/>
      <c r="S23" s="3"/>
      <c r="T23" s="3"/>
      <c r="U23" s="3"/>
      <c r="V23" s="3"/>
      <c r="W23" s="3"/>
      <c r="X23" s="3"/>
      <c r="Y23" s="3"/>
      <c r="Z23" s="3"/>
    </row>
    <row r="24" spans="1:26" ht="15.75" customHeight="1">
      <c r="A24" s="8"/>
      <c r="B24" s="8"/>
      <c r="C24" s="8"/>
      <c r="D24" s="8"/>
      <c r="E24" s="8"/>
      <c r="F24" s="8"/>
      <c r="G24" s="5" t="s">
        <v>129</v>
      </c>
      <c r="H24" s="4" t="s">
        <v>130</v>
      </c>
      <c r="I24" s="8"/>
      <c r="J24" s="8"/>
      <c r="K24" s="8"/>
      <c r="L24" s="8"/>
      <c r="M24" s="8"/>
      <c r="N24" s="3"/>
      <c r="O24" s="3"/>
      <c r="P24" s="3"/>
      <c r="Q24" s="3"/>
      <c r="R24" s="3"/>
      <c r="S24" s="3"/>
      <c r="T24" s="3"/>
      <c r="U24" s="3"/>
      <c r="V24" s="3"/>
      <c r="W24" s="3"/>
      <c r="X24" s="3"/>
      <c r="Y24" s="3"/>
      <c r="Z24" s="3"/>
    </row>
    <row r="25" spans="1:26" ht="15.75" customHeight="1">
      <c r="A25" s="8"/>
      <c r="B25" s="8"/>
      <c r="C25" s="8"/>
      <c r="D25" s="8"/>
      <c r="E25" s="8"/>
      <c r="F25" s="8"/>
      <c r="G25" s="5" t="s">
        <v>131</v>
      </c>
      <c r="H25" s="4" t="s">
        <v>132</v>
      </c>
      <c r="I25" s="8"/>
      <c r="J25" s="8"/>
      <c r="K25" s="8"/>
      <c r="L25" s="8"/>
      <c r="M25" s="8"/>
      <c r="N25" s="3"/>
      <c r="O25" s="3"/>
      <c r="P25" s="3"/>
      <c r="Q25" s="3"/>
      <c r="R25" s="3"/>
      <c r="S25" s="3"/>
      <c r="T25" s="3"/>
      <c r="U25" s="3"/>
      <c r="V25" s="3"/>
      <c r="W25" s="3"/>
      <c r="X25" s="3"/>
      <c r="Y25" s="3"/>
      <c r="Z25" s="3"/>
    </row>
    <row r="26" spans="1:26" ht="15.75" customHeight="1">
      <c r="A26" s="8"/>
      <c r="B26" s="8"/>
      <c r="C26" s="8"/>
      <c r="D26" s="8"/>
      <c r="E26" s="8"/>
      <c r="F26" s="8"/>
      <c r="G26" s="5" t="s">
        <v>133</v>
      </c>
      <c r="H26" s="4" t="s">
        <v>134</v>
      </c>
      <c r="I26" s="8"/>
      <c r="J26" s="8"/>
      <c r="K26" s="8"/>
      <c r="L26" s="8"/>
      <c r="M26" s="8"/>
      <c r="N26" s="3"/>
      <c r="O26" s="3"/>
      <c r="P26" s="3"/>
      <c r="Q26" s="3"/>
      <c r="R26" s="3"/>
      <c r="S26" s="3"/>
      <c r="T26" s="3"/>
      <c r="U26" s="3"/>
      <c r="V26" s="3"/>
      <c r="W26" s="3"/>
      <c r="X26" s="3"/>
      <c r="Y26" s="3"/>
      <c r="Z26" s="3"/>
    </row>
    <row r="27" spans="1:26" ht="15.75" customHeight="1">
      <c r="A27" s="8"/>
      <c r="B27" s="8"/>
      <c r="C27" s="8"/>
      <c r="D27" s="8"/>
      <c r="E27" s="8"/>
      <c r="F27" s="8"/>
      <c r="G27" s="5" t="s">
        <v>135</v>
      </c>
      <c r="H27" s="4" t="s">
        <v>136</v>
      </c>
      <c r="I27" s="8"/>
      <c r="J27" s="8"/>
      <c r="K27" s="8"/>
      <c r="L27" s="8"/>
      <c r="M27" s="8"/>
      <c r="N27" s="3"/>
      <c r="O27" s="3"/>
      <c r="P27" s="3"/>
      <c r="Q27" s="3"/>
      <c r="R27" s="3"/>
      <c r="S27" s="3"/>
      <c r="T27" s="3"/>
      <c r="U27" s="3"/>
      <c r="V27" s="3"/>
      <c r="W27" s="3"/>
      <c r="X27" s="3"/>
      <c r="Y27" s="3"/>
      <c r="Z27" s="3"/>
    </row>
    <row r="28" spans="1:26" ht="15.75" customHeight="1">
      <c r="A28" s="8"/>
      <c r="B28" s="8"/>
      <c r="C28" s="8"/>
      <c r="D28" s="8"/>
      <c r="E28" s="8"/>
      <c r="F28" s="8"/>
      <c r="G28" s="5" t="s">
        <v>137</v>
      </c>
      <c r="H28" s="4" t="s">
        <v>138</v>
      </c>
      <c r="I28" s="8"/>
      <c r="J28" s="8"/>
      <c r="K28" s="8"/>
      <c r="L28" s="8"/>
      <c r="M28" s="8"/>
      <c r="N28" s="3"/>
      <c r="O28" s="3"/>
      <c r="P28" s="3"/>
      <c r="Q28" s="3"/>
      <c r="R28" s="3"/>
      <c r="S28" s="3"/>
      <c r="T28" s="3"/>
      <c r="U28" s="3"/>
      <c r="V28" s="3"/>
      <c r="W28" s="3"/>
      <c r="X28" s="3"/>
      <c r="Y28" s="3"/>
      <c r="Z28" s="3"/>
    </row>
    <row r="29" spans="1:26" ht="15.75" customHeight="1">
      <c r="A29" s="8"/>
      <c r="B29" s="8"/>
      <c r="C29" s="8"/>
      <c r="D29" s="8"/>
      <c r="E29" s="8"/>
      <c r="F29" s="8"/>
      <c r="G29" s="5" t="s">
        <v>139</v>
      </c>
      <c r="H29" s="4" t="s">
        <v>140</v>
      </c>
      <c r="I29" s="8"/>
      <c r="J29" s="8"/>
      <c r="K29" s="8"/>
      <c r="L29" s="8"/>
      <c r="M29" s="8"/>
      <c r="N29" s="3"/>
      <c r="O29" s="3"/>
      <c r="P29" s="3"/>
      <c r="Q29" s="3"/>
      <c r="R29" s="3"/>
      <c r="S29" s="3"/>
      <c r="T29" s="3"/>
      <c r="U29" s="3"/>
      <c r="V29" s="3"/>
      <c r="W29" s="3"/>
      <c r="X29" s="3"/>
      <c r="Y29" s="3"/>
      <c r="Z29" s="3"/>
    </row>
    <row r="30" spans="1:26" ht="15.75" customHeight="1">
      <c r="A30" s="8"/>
      <c r="B30" s="8"/>
      <c r="C30" s="8"/>
      <c r="D30" s="8"/>
      <c r="E30" s="8"/>
      <c r="F30" s="8"/>
      <c r="G30" s="5" t="s">
        <v>141</v>
      </c>
      <c r="H30" s="4" t="s">
        <v>142</v>
      </c>
      <c r="I30" s="8"/>
      <c r="J30" s="8"/>
      <c r="K30" s="8"/>
      <c r="L30" s="8"/>
      <c r="M30" s="8"/>
      <c r="N30" s="3"/>
      <c r="O30" s="3"/>
      <c r="P30" s="3"/>
      <c r="Q30" s="3"/>
      <c r="R30" s="3"/>
      <c r="S30" s="3"/>
      <c r="T30" s="3"/>
      <c r="U30" s="3"/>
      <c r="V30" s="3"/>
      <c r="W30" s="3"/>
      <c r="X30" s="3"/>
      <c r="Y30" s="3"/>
      <c r="Z30" s="3"/>
    </row>
    <row r="31" spans="1:26" ht="15.75" customHeight="1">
      <c r="A31" s="8"/>
      <c r="B31" s="8"/>
      <c r="C31" s="8"/>
      <c r="D31" s="8"/>
      <c r="E31" s="8"/>
      <c r="F31" s="8"/>
      <c r="G31" s="5" t="s">
        <v>143</v>
      </c>
      <c r="H31" s="4" t="s">
        <v>144</v>
      </c>
      <c r="I31" s="8"/>
      <c r="J31" s="8"/>
      <c r="K31" s="8"/>
      <c r="L31" s="8"/>
      <c r="M31" s="8"/>
      <c r="N31" s="3"/>
      <c r="O31" s="3"/>
      <c r="P31" s="3"/>
      <c r="Q31" s="3"/>
      <c r="R31" s="3"/>
      <c r="S31" s="3"/>
      <c r="T31" s="3"/>
      <c r="U31" s="3"/>
      <c r="V31" s="3"/>
      <c r="W31" s="3"/>
      <c r="X31" s="3"/>
      <c r="Y31" s="3"/>
      <c r="Z31" s="3"/>
    </row>
    <row r="32" spans="1:26" ht="15.75" customHeight="1">
      <c r="A32" s="8"/>
      <c r="B32" s="8"/>
      <c r="C32" s="8"/>
      <c r="D32" s="8"/>
      <c r="E32" s="8"/>
      <c r="F32" s="8"/>
      <c r="G32" s="5" t="s">
        <v>145</v>
      </c>
      <c r="H32" s="4" t="s">
        <v>146</v>
      </c>
      <c r="I32" s="8"/>
      <c r="J32" s="8"/>
      <c r="K32" s="8"/>
      <c r="L32" s="8"/>
      <c r="M32" s="8"/>
      <c r="N32" s="3"/>
      <c r="O32" s="3"/>
      <c r="P32" s="3"/>
      <c r="Q32" s="3"/>
      <c r="R32" s="3"/>
      <c r="S32" s="3"/>
      <c r="T32" s="3"/>
      <c r="U32" s="3"/>
      <c r="V32" s="3"/>
      <c r="W32" s="3"/>
      <c r="X32" s="3"/>
      <c r="Y32" s="3"/>
      <c r="Z32" s="3"/>
    </row>
    <row r="33" spans="1:26" ht="15.75" customHeight="1">
      <c r="A33" s="8"/>
      <c r="B33" s="8"/>
      <c r="C33" s="8"/>
      <c r="D33" s="8"/>
      <c r="E33" s="8"/>
      <c r="F33" s="8"/>
      <c r="G33" s="5" t="s">
        <v>147</v>
      </c>
      <c r="H33" s="4" t="s">
        <v>148</v>
      </c>
      <c r="I33" s="8"/>
      <c r="J33" s="8"/>
      <c r="K33" s="8"/>
      <c r="L33" s="8"/>
      <c r="M33" s="8"/>
      <c r="N33" s="3"/>
      <c r="O33" s="3"/>
      <c r="P33" s="3"/>
      <c r="Q33" s="3"/>
      <c r="R33" s="3"/>
      <c r="S33" s="3"/>
      <c r="T33" s="3"/>
      <c r="U33" s="3"/>
      <c r="V33" s="3"/>
      <c r="W33" s="3"/>
      <c r="X33" s="3"/>
      <c r="Y33" s="3"/>
      <c r="Z33" s="3"/>
    </row>
    <row r="34" spans="1:26" ht="15.75" customHeight="1">
      <c r="A34" s="8"/>
      <c r="B34" s="8"/>
      <c r="C34" s="8"/>
      <c r="D34" s="8"/>
      <c r="E34" s="8"/>
      <c r="F34" s="8"/>
      <c r="G34" s="5" t="s">
        <v>149</v>
      </c>
      <c r="H34" s="4" t="s">
        <v>150</v>
      </c>
      <c r="I34" s="8"/>
      <c r="J34" s="8"/>
      <c r="K34" s="8"/>
      <c r="L34" s="8"/>
      <c r="M34" s="8"/>
      <c r="N34" s="3"/>
      <c r="O34" s="3"/>
      <c r="P34" s="3"/>
      <c r="Q34" s="3"/>
      <c r="R34" s="3"/>
      <c r="S34" s="3"/>
      <c r="T34" s="3"/>
      <c r="U34" s="3"/>
      <c r="V34" s="3"/>
      <c r="W34" s="3"/>
      <c r="X34" s="3"/>
      <c r="Y34" s="3"/>
      <c r="Z34" s="3"/>
    </row>
    <row r="35" spans="1:26" ht="15.75" customHeight="1">
      <c r="A35" s="8"/>
      <c r="B35" s="8"/>
      <c r="C35" s="8"/>
      <c r="D35" s="8"/>
      <c r="E35" s="8"/>
      <c r="F35" s="8"/>
      <c r="G35" s="5" t="s">
        <v>151</v>
      </c>
      <c r="H35" s="4" t="s">
        <v>152</v>
      </c>
      <c r="I35" s="8"/>
      <c r="J35" s="8"/>
      <c r="K35" s="8"/>
      <c r="L35" s="8"/>
      <c r="M35" s="8"/>
      <c r="N35" s="3"/>
      <c r="O35" s="3"/>
      <c r="P35" s="3"/>
      <c r="Q35" s="3"/>
      <c r="R35" s="3"/>
      <c r="S35" s="3"/>
      <c r="T35" s="3"/>
      <c r="U35" s="3"/>
      <c r="V35" s="3"/>
      <c r="W35" s="3"/>
      <c r="X35" s="3"/>
      <c r="Y35" s="3"/>
      <c r="Z35" s="3"/>
    </row>
    <row r="36" spans="1:26" ht="15.75" customHeight="1">
      <c r="A36" s="8"/>
      <c r="B36" s="8"/>
      <c r="C36" s="8"/>
      <c r="D36" s="8"/>
      <c r="E36" s="8"/>
      <c r="F36" s="8"/>
      <c r="G36" s="5" t="s">
        <v>153</v>
      </c>
      <c r="H36" s="4" t="s">
        <v>154</v>
      </c>
      <c r="I36" s="8"/>
      <c r="J36" s="8"/>
      <c r="K36" s="8"/>
      <c r="L36" s="8"/>
      <c r="M36" s="8"/>
      <c r="N36" s="3"/>
      <c r="O36" s="3"/>
      <c r="P36" s="3"/>
      <c r="Q36" s="3"/>
      <c r="R36" s="3"/>
      <c r="S36" s="3"/>
      <c r="T36" s="3"/>
      <c r="U36" s="3"/>
      <c r="V36" s="3"/>
      <c r="W36" s="3"/>
      <c r="X36" s="3"/>
      <c r="Y36" s="3"/>
      <c r="Z36" s="3"/>
    </row>
    <row r="37" spans="1:26" ht="15.75" customHeight="1">
      <c r="A37" s="8"/>
      <c r="B37" s="8"/>
      <c r="C37" s="8"/>
      <c r="D37" s="8"/>
      <c r="E37" s="8"/>
      <c r="F37" s="8"/>
      <c r="G37" s="5" t="s">
        <v>155</v>
      </c>
      <c r="H37" s="4" t="s">
        <v>156</v>
      </c>
      <c r="I37" s="8"/>
      <c r="J37" s="8"/>
      <c r="K37" s="8"/>
      <c r="L37" s="8"/>
      <c r="M37" s="8"/>
      <c r="N37" s="3"/>
      <c r="O37" s="3"/>
      <c r="P37" s="3"/>
      <c r="Q37" s="3"/>
      <c r="R37" s="3"/>
      <c r="S37" s="3"/>
      <c r="T37" s="3"/>
      <c r="U37" s="3"/>
      <c r="V37" s="3"/>
      <c r="W37" s="3"/>
      <c r="X37" s="3"/>
      <c r="Y37" s="3"/>
      <c r="Z37" s="3"/>
    </row>
    <row r="38" spans="1:26" ht="15.75" customHeight="1">
      <c r="A38" s="8"/>
      <c r="B38" s="8"/>
      <c r="C38" s="8"/>
      <c r="D38" s="8"/>
      <c r="E38" s="8"/>
      <c r="F38" s="8"/>
      <c r="G38" s="5" t="s">
        <v>157</v>
      </c>
      <c r="H38" s="4" t="s">
        <v>158</v>
      </c>
      <c r="I38" s="8"/>
      <c r="J38" s="8"/>
      <c r="K38" s="8"/>
      <c r="L38" s="8"/>
      <c r="M38" s="8"/>
      <c r="N38" s="3"/>
      <c r="O38" s="3"/>
      <c r="P38" s="3"/>
      <c r="Q38" s="3"/>
      <c r="R38" s="3"/>
      <c r="S38" s="3"/>
      <c r="T38" s="3"/>
      <c r="U38" s="3"/>
      <c r="V38" s="3"/>
      <c r="W38" s="3"/>
      <c r="X38" s="3"/>
      <c r="Y38" s="3"/>
      <c r="Z38" s="3"/>
    </row>
    <row r="39" spans="1:26" ht="15.75" customHeight="1">
      <c r="A39" s="8"/>
      <c r="B39" s="8"/>
      <c r="C39" s="8"/>
      <c r="D39" s="8"/>
      <c r="E39" s="8"/>
      <c r="F39" s="8"/>
      <c r="G39" s="5" t="s">
        <v>159</v>
      </c>
      <c r="H39" s="4" t="s">
        <v>160</v>
      </c>
      <c r="I39" s="8"/>
      <c r="J39" s="8"/>
      <c r="K39" s="8"/>
      <c r="L39" s="8"/>
      <c r="M39" s="8"/>
      <c r="N39" s="3"/>
      <c r="O39" s="3"/>
      <c r="P39" s="3"/>
      <c r="Q39" s="3"/>
      <c r="R39" s="3"/>
      <c r="S39" s="3"/>
      <c r="T39" s="3"/>
      <c r="U39" s="3"/>
      <c r="V39" s="3"/>
      <c r="W39" s="3"/>
      <c r="X39" s="3"/>
      <c r="Y39" s="3"/>
      <c r="Z39" s="3"/>
    </row>
    <row r="40" spans="1:26" ht="15.75" customHeight="1">
      <c r="A40" s="8"/>
      <c r="B40" s="8"/>
      <c r="C40" s="8"/>
      <c r="D40" s="8"/>
      <c r="E40" s="8"/>
      <c r="F40" s="8"/>
      <c r="G40" s="5" t="s">
        <v>161</v>
      </c>
      <c r="H40" s="4" t="s">
        <v>162</v>
      </c>
      <c r="I40" s="8"/>
      <c r="J40" s="8"/>
      <c r="K40" s="8"/>
      <c r="L40" s="8"/>
      <c r="M40" s="8"/>
      <c r="N40" s="3"/>
      <c r="O40" s="3"/>
      <c r="P40" s="3"/>
      <c r="Q40" s="3"/>
      <c r="R40" s="3"/>
      <c r="S40" s="3"/>
      <c r="T40" s="3"/>
      <c r="U40" s="3"/>
      <c r="V40" s="3"/>
      <c r="W40" s="3"/>
      <c r="X40" s="3"/>
      <c r="Y40" s="3"/>
      <c r="Z40" s="3"/>
    </row>
    <row r="41" spans="1:26" ht="15.75" customHeight="1">
      <c r="A41" s="8"/>
      <c r="B41" s="8"/>
      <c r="C41" s="8"/>
      <c r="D41" s="8"/>
      <c r="E41" s="8"/>
      <c r="F41" s="8"/>
      <c r="G41" s="9"/>
      <c r="H41" s="4" t="s">
        <v>163</v>
      </c>
      <c r="I41" s="8"/>
      <c r="J41" s="8"/>
      <c r="K41" s="8"/>
      <c r="L41" s="8"/>
      <c r="M41" s="8"/>
      <c r="N41" s="3"/>
      <c r="O41" s="3"/>
      <c r="P41" s="3"/>
      <c r="Q41" s="3"/>
      <c r="R41" s="3"/>
      <c r="S41" s="3"/>
      <c r="T41" s="3"/>
      <c r="U41" s="3"/>
      <c r="V41" s="3"/>
      <c r="W41" s="3"/>
      <c r="X41" s="3"/>
      <c r="Y41" s="3"/>
      <c r="Z41" s="3"/>
    </row>
    <row r="42" spans="1:26" ht="15.75" customHeight="1">
      <c r="A42" s="8"/>
      <c r="B42" s="8"/>
      <c r="C42" s="8"/>
      <c r="D42" s="8"/>
      <c r="E42" s="8"/>
      <c r="F42" s="8"/>
      <c r="G42" s="26"/>
      <c r="H42" s="4" t="s">
        <v>164</v>
      </c>
      <c r="I42" s="8"/>
      <c r="J42" s="8"/>
      <c r="K42" s="8"/>
      <c r="L42" s="8"/>
      <c r="M42" s="8"/>
      <c r="N42" s="3"/>
      <c r="O42" s="3"/>
      <c r="P42" s="3"/>
      <c r="Q42" s="3"/>
      <c r="R42" s="3"/>
      <c r="S42" s="3"/>
      <c r="T42" s="3"/>
      <c r="U42" s="3"/>
      <c r="V42" s="3"/>
      <c r="W42" s="3"/>
      <c r="X42" s="3"/>
      <c r="Y42" s="3"/>
      <c r="Z42" s="3"/>
    </row>
    <row r="43" spans="1:26" ht="15.75" customHeight="1">
      <c r="A43" s="8"/>
      <c r="B43" s="8"/>
      <c r="C43" s="8"/>
      <c r="D43" s="8"/>
      <c r="E43" s="8"/>
      <c r="F43" s="8"/>
      <c r="G43" s="3"/>
      <c r="H43" s="4" t="s">
        <v>165</v>
      </c>
      <c r="I43" s="8"/>
      <c r="J43" s="8"/>
      <c r="K43" s="8"/>
      <c r="L43" s="8"/>
      <c r="M43" s="8"/>
      <c r="N43" s="3"/>
      <c r="O43" s="3"/>
      <c r="P43" s="3"/>
      <c r="Q43" s="3"/>
      <c r="R43" s="3"/>
      <c r="S43" s="3"/>
      <c r="T43" s="3"/>
      <c r="U43" s="3"/>
      <c r="V43" s="3"/>
      <c r="W43" s="3"/>
      <c r="X43" s="3"/>
      <c r="Y43" s="3"/>
      <c r="Z43" s="3"/>
    </row>
    <row r="44" spans="1:26" ht="15.75" customHeight="1">
      <c r="A44" s="8"/>
      <c r="B44" s="8"/>
      <c r="C44" s="8"/>
      <c r="D44" s="8"/>
      <c r="E44" s="8"/>
      <c r="F44" s="8"/>
      <c r="G44" s="3"/>
      <c r="H44" s="4" t="s">
        <v>166</v>
      </c>
      <c r="I44" s="8"/>
      <c r="J44" s="8"/>
      <c r="K44" s="8"/>
      <c r="L44" s="8"/>
      <c r="M44" s="8"/>
      <c r="N44" s="3"/>
      <c r="O44" s="3"/>
      <c r="P44" s="3"/>
      <c r="Q44" s="3"/>
      <c r="R44" s="3"/>
      <c r="S44" s="3"/>
      <c r="T44" s="3"/>
      <c r="U44" s="3"/>
      <c r="V44" s="3"/>
      <c r="W44" s="3"/>
      <c r="X44" s="3"/>
      <c r="Y44" s="3"/>
      <c r="Z44" s="3"/>
    </row>
    <row r="45" spans="1:26" ht="15.75" customHeight="1">
      <c r="A45" s="8"/>
      <c r="B45" s="8"/>
      <c r="C45" s="8"/>
      <c r="D45" s="8"/>
      <c r="E45" s="8"/>
      <c r="F45" s="8"/>
      <c r="G45" s="3"/>
      <c r="H45" s="4" t="s">
        <v>167</v>
      </c>
      <c r="I45" s="8"/>
      <c r="J45" s="8"/>
      <c r="K45" s="8"/>
      <c r="L45" s="8"/>
      <c r="M45" s="8"/>
      <c r="N45" s="3"/>
      <c r="O45" s="3"/>
      <c r="P45" s="3"/>
      <c r="Q45" s="3"/>
      <c r="R45" s="3"/>
      <c r="S45" s="3"/>
      <c r="T45" s="3"/>
      <c r="U45" s="3"/>
      <c r="V45" s="3"/>
      <c r="W45" s="3"/>
      <c r="X45" s="3"/>
      <c r="Y45" s="3"/>
      <c r="Z45" s="3"/>
    </row>
    <row r="46" spans="1:26" ht="15.75" customHeight="1">
      <c r="A46" s="8"/>
      <c r="B46" s="8"/>
      <c r="C46" s="8"/>
      <c r="D46" s="8"/>
      <c r="E46" s="8"/>
      <c r="F46" s="8"/>
      <c r="G46" s="3"/>
      <c r="H46" s="4" t="s">
        <v>168</v>
      </c>
      <c r="I46" s="8"/>
      <c r="J46" s="8"/>
      <c r="K46" s="8"/>
      <c r="L46" s="8"/>
      <c r="M46" s="8"/>
      <c r="N46" s="3"/>
      <c r="O46" s="3"/>
      <c r="P46" s="3"/>
      <c r="Q46" s="3"/>
      <c r="R46" s="3"/>
      <c r="S46" s="3"/>
      <c r="T46" s="3"/>
      <c r="U46" s="3"/>
      <c r="V46" s="3"/>
      <c r="W46" s="3"/>
      <c r="X46" s="3"/>
      <c r="Y46" s="3"/>
      <c r="Z46" s="3"/>
    </row>
    <row r="47" spans="1:26" ht="15.75" customHeight="1">
      <c r="A47" s="8"/>
      <c r="B47" s="8"/>
      <c r="C47" s="8"/>
      <c r="D47" s="8"/>
      <c r="E47" s="8"/>
      <c r="F47" s="8"/>
      <c r="G47" s="3"/>
      <c r="H47" s="4" t="s">
        <v>169</v>
      </c>
      <c r="I47" s="8"/>
      <c r="J47" s="8"/>
      <c r="K47" s="8"/>
      <c r="L47" s="8"/>
      <c r="M47" s="8"/>
      <c r="N47" s="3"/>
      <c r="O47" s="3"/>
      <c r="P47" s="3"/>
      <c r="Q47" s="3"/>
      <c r="R47" s="3"/>
      <c r="S47" s="3"/>
      <c r="T47" s="3"/>
      <c r="U47" s="3"/>
      <c r="V47" s="3"/>
      <c r="W47" s="3"/>
      <c r="X47" s="3"/>
      <c r="Y47" s="3"/>
      <c r="Z47" s="3"/>
    </row>
    <row r="48" spans="1:26" ht="15.75" customHeight="1">
      <c r="A48" s="8"/>
      <c r="B48" s="8"/>
      <c r="C48" s="8"/>
      <c r="D48" s="8"/>
      <c r="E48" s="8"/>
      <c r="F48" s="8"/>
      <c r="G48" s="8"/>
      <c r="H48" s="4" t="s">
        <v>170</v>
      </c>
      <c r="I48" s="8"/>
      <c r="J48" s="8"/>
      <c r="K48" s="8"/>
      <c r="L48" s="8"/>
      <c r="M48" s="8"/>
      <c r="N48" s="3"/>
      <c r="O48" s="3"/>
      <c r="P48" s="3"/>
      <c r="Q48" s="3"/>
      <c r="R48" s="3"/>
      <c r="S48" s="3"/>
      <c r="T48" s="3"/>
      <c r="U48" s="3"/>
      <c r="V48" s="3"/>
      <c r="W48" s="3"/>
      <c r="X48" s="3"/>
      <c r="Y48" s="3"/>
      <c r="Z48" s="3"/>
    </row>
    <row r="49" spans="1:26" ht="15.75" customHeight="1">
      <c r="A49" s="8"/>
      <c r="B49" s="8"/>
      <c r="C49" s="8"/>
      <c r="D49" s="8"/>
      <c r="E49" s="8"/>
      <c r="F49" s="8"/>
      <c r="G49" s="8"/>
      <c r="H49" s="5" t="s">
        <v>171</v>
      </c>
      <c r="I49" s="8"/>
      <c r="J49" s="8"/>
      <c r="K49" s="8"/>
      <c r="L49" s="8"/>
      <c r="M49" s="8"/>
      <c r="N49" s="3"/>
      <c r="O49" s="3"/>
      <c r="P49" s="3"/>
      <c r="Q49" s="3"/>
      <c r="R49" s="3"/>
      <c r="S49" s="3"/>
      <c r="T49" s="3"/>
      <c r="U49" s="3"/>
      <c r="V49" s="3"/>
      <c r="W49" s="3"/>
      <c r="X49" s="3"/>
      <c r="Y49" s="3"/>
      <c r="Z49" s="3"/>
    </row>
    <row r="50" spans="1:26" ht="15.75" customHeight="1">
      <c r="A50" s="8"/>
      <c r="B50" s="8"/>
      <c r="C50" s="8"/>
      <c r="D50" s="8"/>
      <c r="E50" s="8"/>
      <c r="F50" s="8"/>
      <c r="G50" s="8"/>
      <c r="H50" s="34" t="s">
        <v>172</v>
      </c>
      <c r="I50" s="8"/>
      <c r="J50" s="8"/>
      <c r="K50" s="8"/>
      <c r="L50" s="8"/>
      <c r="M50" s="8"/>
      <c r="N50" s="3"/>
      <c r="O50" s="3"/>
      <c r="P50" s="3"/>
      <c r="Q50" s="3"/>
      <c r="R50" s="3"/>
      <c r="S50" s="3"/>
      <c r="T50" s="3"/>
      <c r="U50" s="3"/>
      <c r="V50" s="3"/>
      <c r="W50" s="3"/>
      <c r="X50" s="3"/>
      <c r="Y50" s="3"/>
      <c r="Z50" s="3"/>
    </row>
    <row r="51" spans="1:26" ht="15.75" customHeight="1">
      <c r="A51" s="8"/>
      <c r="B51" s="8"/>
      <c r="C51" s="8"/>
      <c r="D51" s="8"/>
      <c r="E51" s="8"/>
      <c r="F51" s="8"/>
      <c r="G51" s="8"/>
      <c r="H51" s="4" t="s">
        <v>173</v>
      </c>
      <c r="I51" s="8"/>
      <c r="J51" s="8"/>
      <c r="K51" s="8"/>
      <c r="L51" s="8"/>
      <c r="M51" s="8"/>
      <c r="N51" s="3"/>
      <c r="O51" s="3"/>
      <c r="P51" s="3"/>
      <c r="Q51" s="3"/>
      <c r="R51" s="3"/>
      <c r="S51" s="3"/>
      <c r="T51" s="3"/>
      <c r="U51" s="3"/>
      <c r="V51" s="3"/>
      <c r="W51" s="3"/>
      <c r="X51" s="3"/>
      <c r="Y51" s="3"/>
      <c r="Z51" s="3"/>
    </row>
    <row r="52" spans="1:26" ht="15.75" customHeight="1">
      <c r="A52" s="8"/>
      <c r="B52" s="8"/>
      <c r="C52" s="8"/>
      <c r="D52" s="8"/>
      <c r="E52" s="8"/>
      <c r="F52" s="8"/>
      <c r="G52" s="8"/>
      <c r="H52" s="8"/>
      <c r="I52" s="8"/>
      <c r="J52" s="8"/>
      <c r="K52" s="8"/>
      <c r="L52" s="8"/>
      <c r="M52" s="8"/>
      <c r="N52" s="3"/>
      <c r="O52" s="3"/>
      <c r="P52" s="3"/>
      <c r="Q52" s="3"/>
      <c r="R52" s="3"/>
      <c r="S52" s="3"/>
      <c r="T52" s="3"/>
      <c r="U52" s="3"/>
      <c r="V52" s="3"/>
      <c r="W52" s="3"/>
      <c r="X52" s="3"/>
      <c r="Y52" s="3"/>
      <c r="Z52" s="3"/>
    </row>
    <row r="53" spans="1:26" ht="15.75" customHeight="1">
      <c r="A53" s="8"/>
      <c r="B53" s="8"/>
      <c r="C53" s="8"/>
      <c r="D53" s="8"/>
      <c r="E53" s="8"/>
      <c r="F53" s="8"/>
      <c r="G53" s="8"/>
      <c r="H53" s="8"/>
      <c r="I53" s="8"/>
      <c r="J53" s="8"/>
      <c r="K53" s="8"/>
      <c r="L53" s="8"/>
      <c r="M53" s="8"/>
      <c r="N53" s="3"/>
      <c r="O53" s="3"/>
      <c r="P53" s="3"/>
      <c r="Q53" s="3"/>
      <c r="R53" s="3"/>
      <c r="S53" s="3"/>
      <c r="T53" s="3"/>
      <c r="U53" s="3"/>
      <c r="V53" s="3"/>
      <c r="W53" s="3"/>
      <c r="X53" s="3"/>
      <c r="Y53" s="3"/>
      <c r="Z53" s="3"/>
    </row>
    <row r="54" spans="1:26" ht="15.75" customHeight="1">
      <c r="A54" s="8"/>
      <c r="B54" s="8"/>
      <c r="C54" s="8"/>
      <c r="D54" s="8"/>
      <c r="E54" s="8"/>
      <c r="F54" s="8"/>
      <c r="G54" s="8"/>
      <c r="H54" s="8"/>
      <c r="I54" s="8"/>
      <c r="J54" s="8"/>
      <c r="K54" s="8"/>
      <c r="L54" s="8"/>
      <c r="M54" s="8"/>
      <c r="N54" s="3"/>
      <c r="O54" s="3"/>
      <c r="P54" s="3"/>
      <c r="Q54" s="3"/>
      <c r="R54" s="3"/>
      <c r="S54" s="3"/>
      <c r="T54" s="3"/>
      <c r="U54" s="3"/>
      <c r="V54" s="3"/>
      <c r="W54" s="3"/>
      <c r="X54" s="3"/>
      <c r="Y54" s="3"/>
      <c r="Z54" s="3"/>
    </row>
    <row r="55" spans="1:26" ht="15.75" customHeight="1">
      <c r="A55" s="8"/>
      <c r="B55" s="8"/>
      <c r="C55" s="8"/>
      <c r="D55" s="8"/>
      <c r="E55" s="8"/>
      <c r="F55" s="8"/>
      <c r="G55" s="8"/>
      <c r="H55" s="8"/>
      <c r="I55" s="8"/>
      <c r="J55" s="8"/>
      <c r="K55" s="8"/>
      <c r="L55" s="8"/>
      <c r="M55" s="8"/>
      <c r="N55" s="3"/>
      <c r="O55" s="3"/>
      <c r="P55" s="3"/>
      <c r="Q55" s="3"/>
      <c r="R55" s="3"/>
      <c r="S55" s="3"/>
      <c r="T55" s="3"/>
      <c r="U55" s="3"/>
      <c r="V55" s="3"/>
      <c r="W55" s="3"/>
      <c r="X55" s="3"/>
      <c r="Y55" s="3"/>
      <c r="Z55" s="3"/>
    </row>
    <row r="56" spans="1:26" ht="15.75" customHeight="1">
      <c r="A56" s="8"/>
      <c r="B56" s="8"/>
      <c r="C56" s="8"/>
      <c r="D56" s="8"/>
      <c r="E56" s="8"/>
      <c r="F56" s="8"/>
      <c r="G56" s="8"/>
      <c r="H56" s="8"/>
      <c r="I56" s="8"/>
      <c r="J56" s="8"/>
      <c r="K56" s="8"/>
      <c r="L56" s="8"/>
      <c r="M56" s="8"/>
      <c r="N56" s="3"/>
      <c r="O56" s="3"/>
      <c r="P56" s="3"/>
      <c r="Q56" s="3"/>
      <c r="R56" s="3"/>
      <c r="S56" s="3"/>
      <c r="T56" s="3"/>
      <c r="U56" s="3"/>
      <c r="V56" s="3"/>
      <c r="W56" s="3"/>
      <c r="X56" s="3"/>
      <c r="Y56" s="3"/>
      <c r="Z56" s="3"/>
    </row>
    <row r="57" spans="1:26" ht="15.75" customHeight="1">
      <c r="A57" s="8"/>
      <c r="B57" s="8"/>
      <c r="C57" s="8"/>
      <c r="D57" s="8"/>
      <c r="E57" s="8"/>
      <c r="F57" s="8"/>
      <c r="G57" s="8"/>
      <c r="H57" s="8"/>
      <c r="I57" s="8"/>
      <c r="J57" s="8"/>
      <c r="K57" s="8"/>
      <c r="L57" s="8"/>
      <c r="M57" s="8"/>
      <c r="N57" s="3"/>
      <c r="O57" s="3"/>
      <c r="P57" s="3"/>
      <c r="Q57" s="3"/>
      <c r="R57" s="3"/>
      <c r="S57" s="3"/>
      <c r="T57" s="3"/>
      <c r="U57" s="3"/>
      <c r="V57" s="3"/>
      <c r="W57" s="3"/>
      <c r="X57" s="3"/>
      <c r="Y57" s="3"/>
      <c r="Z57" s="3"/>
    </row>
    <row r="58" spans="1:26" ht="15.75" customHeight="1">
      <c r="A58" s="8"/>
      <c r="B58" s="8"/>
      <c r="C58" s="8"/>
      <c r="D58" s="8"/>
      <c r="E58" s="8"/>
      <c r="F58" s="8"/>
      <c r="G58" s="8"/>
      <c r="H58" s="8"/>
      <c r="I58" s="8"/>
      <c r="J58" s="8"/>
      <c r="K58" s="8"/>
      <c r="L58" s="8"/>
      <c r="M58" s="8"/>
      <c r="N58" s="3"/>
      <c r="O58" s="3"/>
      <c r="P58" s="3"/>
      <c r="Q58" s="3"/>
      <c r="R58" s="3"/>
      <c r="S58" s="3"/>
      <c r="T58" s="3"/>
      <c r="U58" s="3"/>
      <c r="V58" s="3"/>
      <c r="W58" s="3"/>
      <c r="X58" s="3"/>
      <c r="Y58" s="3"/>
      <c r="Z58" s="3"/>
    </row>
    <row r="59" spans="1:26" ht="15.75" customHeight="1">
      <c r="A59" s="8"/>
      <c r="B59" s="8"/>
      <c r="C59" s="8"/>
      <c r="D59" s="8"/>
      <c r="E59" s="8"/>
      <c r="F59" s="8"/>
      <c r="G59" s="8"/>
      <c r="H59" s="8"/>
      <c r="I59" s="8"/>
      <c r="J59" s="8"/>
      <c r="K59" s="8"/>
      <c r="L59" s="8"/>
      <c r="M59" s="8"/>
      <c r="N59" s="3"/>
      <c r="O59" s="3"/>
      <c r="P59" s="3"/>
      <c r="Q59" s="3"/>
      <c r="R59" s="3"/>
      <c r="S59" s="3"/>
      <c r="T59" s="3"/>
      <c r="U59" s="3"/>
      <c r="V59" s="3"/>
      <c r="W59" s="3"/>
      <c r="X59" s="3"/>
      <c r="Y59" s="3"/>
      <c r="Z59" s="3"/>
    </row>
    <row r="60" spans="1:26" ht="15.75" customHeight="1">
      <c r="A60" s="8"/>
      <c r="B60" s="8"/>
      <c r="C60" s="8"/>
      <c r="D60" s="8"/>
      <c r="E60" s="8"/>
      <c r="F60" s="8"/>
      <c r="G60" s="8"/>
      <c r="H60" s="8"/>
      <c r="I60" s="8"/>
      <c r="J60" s="8"/>
      <c r="K60" s="8"/>
      <c r="L60" s="8"/>
      <c r="M60" s="8"/>
      <c r="N60" s="3"/>
      <c r="O60" s="3"/>
      <c r="P60" s="3"/>
      <c r="Q60" s="3"/>
      <c r="R60" s="3"/>
      <c r="S60" s="3"/>
      <c r="T60" s="3"/>
      <c r="U60" s="3"/>
      <c r="V60" s="3"/>
      <c r="W60" s="3"/>
      <c r="X60" s="3"/>
      <c r="Y60" s="3"/>
      <c r="Z60" s="3"/>
    </row>
    <row r="61" spans="1:26" ht="15.75" customHeight="1">
      <c r="A61" s="8"/>
      <c r="B61" s="8"/>
      <c r="C61" s="8"/>
      <c r="D61" s="8"/>
      <c r="E61" s="8"/>
      <c r="F61" s="8"/>
      <c r="G61" s="8"/>
      <c r="H61" s="8"/>
      <c r="I61" s="8"/>
      <c r="J61" s="8"/>
      <c r="K61" s="8"/>
      <c r="L61" s="8"/>
      <c r="M61" s="8"/>
      <c r="N61" s="3"/>
      <c r="O61" s="3"/>
      <c r="P61" s="3"/>
      <c r="Q61" s="3"/>
      <c r="R61" s="3"/>
      <c r="S61" s="3"/>
      <c r="T61" s="3"/>
      <c r="U61" s="3"/>
      <c r="V61" s="3"/>
      <c r="W61" s="3"/>
      <c r="X61" s="3"/>
      <c r="Y61" s="3"/>
      <c r="Z61" s="3"/>
    </row>
    <row r="62" spans="1:26" ht="15.75" customHeight="1">
      <c r="A62" s="8"/>
      <c r="B62" s="8"/>
      <c r="C62" s="8"/>
      <c r="D62" s="8"/>
      <c r="E62" s="8"/>
      <c r="F62" s="8"/>
      <c r="G62" s="8"/>
      <c r="H62" s="8"/>
      <c r="I62" s="8"/>
      <c r="J62" s="8"/>
      <c r="K62" s="8"/>
      <c r="L62" s="8"/>
      <c r="M62" s="8"/>
      <c r="N62" s="3"/>
      <c r="O62" s="3"/>
      <c r="P62" s="3"/>
      <c r="Q62" s="3"/>
      <c r="R62" s="3"/>
      <c r="S62" s="3"/>
      <c r="T62" s="3"/>
      <c r="U62" s="3"/>
      <c r="V62" s="3"/>
      <c r="W62" s="3"/>
      <c r="X62" s="3"/>
      <c r="Y62" s="3"/>
      <c r="Z62" s="3"/>
    </row>
    <row r="63" spans="1:26" ht="15.75" customHeight="1">
      <c r="A63" s="8"/>
      <c r="B63" s="8"/>
      <c r="C63" s="8"/>
      <c r="D63" s="8"/>
      <c r="E63" s="8"/>
      <c r="F63" s="8"/>
      <c r="G63" s="8"/>
      <c r="H63" s="8"/>
      <c r="I63" s="8"/>
      <c r="J63" s="8"/>
      <c r="K63" s="8"/>
      <c r="L63" s="8"/>
      <c r="M63" s="8"/>
      <c r="N63" s="3"/>
      <c r="O63" s="3"/>
      <c r="P63" s="3"/>
      <c r="Q63" s="3"/>
      <c r="R63" s="3"/>
      <c r="S63" s="3"/>
      <c r="T63" s="3"/>
      <c r="U63" s="3"/>
      <c r="V63" s="3"/>
      <c r="W63" s="3"/>
      <c r="X63" s="3"/>
      <c r="Y63" s="3"/>
      <c r="Z63" s="3"/>
    </row>
    <row r="64" spans="1:26" ht="15.75" customHeight="1">
      <c r="A64" s="8"/>
      <c r="B64" s="8"/>
      <c r="C64" s="8"/>
      <c r="D64" s="8"/>
      <c r="E64" s="8"/>
      <c r="F64" s="8"/>
      <c r="G64" s="8"/>
      <c r="H64" s="8"/>
      <c r="I64" s="8"/>
      <c r="J64" s="8"/>
      <c r="K64" s="8"/>
      <c r="L64" s="8"/>
      <c r="M64" s="8"/>
      <c r="N64" s="3"/>
      <c r="O64" s="3"/>
      <c r="P64" s="3"/>
      <c r="Q64" s="3"/>
      <c r="R64" s="3"/>
      <c r="S64" s="3"/>
      <c r="T64" s="3"/>
      <c r="U64" s="3"/>
      <c r="V64" s="3"/>
      <c r="W64" s="3"/>
      <c r="X64" s="3"/>
      <c r="Y64" s="3"/>
      <c r="Z64" s="3"/>
    </row>
    <row r="65" spans="1:26" ht="15.75" customHeight="1">
      <c r="A65" s="8"/>
      <c r="B65" s="8"/>
      <c r="C65" s="8"/>
      <c r="D65" s="8"/>
      <c r="E65" s="8"/>
      <c r="F65" s="8"/>
      <c r="G65" s="8"/>
      <c r="H65" s="8"/>
      <c r="I65" s="8"/>
      <c r="J65" s="8"/>
      <c r="K65" s="8"/>
      <c r="L65" s="8"/>
      <c r="M65" s="8"/>
      <c r="N65" s="3"/>
      <c r="O65" s="3"/>
      <c r="P65" s="3"/>
      <c r="Q65" s="3"/>
      <c r="R65" s="3"/>
      <c r="S65" s="3"/>
      <c r="T65" s="3"/>
      <c r="U65" s="3"/>
      <c r="V65" s="3"/>
      <c r="W65" s="3"/>
      <c r="X65" s="3"/>
      <c r="Y65" s="3"/>
      <c r="Z65" s="3"/>
    </row>
    <row r="66" spans="1:26" ht="15.75" customHeight="1">
      <c r="A66" s="8"/>
      <c r="B66" s="8"/>
      <c r="C66" s="8"/>
      <c r="D66" s="8"/>
      <c r="E66" s="8"/>
      <c r="F66" s="8"/>
      <c r="G66" s="8"/>
      <c r="H66" s="8"/>
      <c r="I66" s="8"/>
      <c r="J66" s="8"/>
      <c r="K66" s="8"/>
      <c r="L66" s="8"/>
      <c r="M66" s="8"/>
      <c r="N66" s="3"/>
      <c r="O66" s="3"/>
      <c r="P66" s="3"/>
      <c r="Q66" s="3"/>
      <c r="R66" s="3"/>
      <c r="S66" s="3"/>
      <c r="T66" s="3"/>
      <c r="U66" s="3"/>
      <c r="V66" s="3"/>
      <c r="W66" s="3"/>
      <c r="X66" s="3"/>
      <c r="Y66" s="3"/>
      <c r="Z66" s="3"/>
    </row>
    <row r="67" spans="1:26" ht="15.75" customHeight="1">
      <c r="A67" s="8"/>
      <c r="B67" s="8"/>
      <c r="C67" s="8"/>
      <c r="D67" s="8"/>
      <c r="E67" s="8"/>
      <c r="F67" s="8"/>
      <c r="G67" s="8"/>
      <c r="H67" s="8"/>
      <c r="I67" s="8"/>
      <c r="J67" s="8"/>
      <c r="K67" s="8"/>
      <c r="L67" s="8"/>
      <c r="M67" s="8"/>
      <c r="N67" s="3"/>
      <c r="O67" s="3"/>
      <c r="P67" s="3"/>
      <c r="Q67" s="3"/>
      <c r="R67" s="3"/>
      <c r="S67" s="3"/>
      <c r="T67" s="3"/>
      <c r="U67" s="3"/>
      <c r="V67" s="3"/>
      <c r="W67" s="3"/>
      <c r="X67" s="3"/>
      <c r="Y67" s="3"/>
      <c r="Z67" s="3"/>
    </row>
    <row r="68" spans="1:26" ht="15.75" customHeight="1">
      <c r="A68" s="8"/>
      <c r="B68" s="8"/>
      <c r="C68" s="8"/>
      <c r="D68" s="8"/>
      <c r="E68" s="8"/>
      <c r="F68" s="8"/>
      <c r="G68" s="8"/>
      <c r="H68" s="8"/>
      <c r="I68" s="8"/>
      <c r="J68" s="8"/>
      <c r="K68" s="8"/>
      <c r="L68" s="8"/>
      <c r="M68" s="8"/>
      <c r="N68" s="3"/>
      <c r="O68" s="3"/>
      <c r="P68" s="3"/>
      <c r="Q68" s="3"/>
      <c r="R68" s="3"/>
      <c r="S68" s="3"/>
      <c r="T68" s="3"/>
      <c r="U68" s="3"/>
      <c r="V68" s="3"/>
      <c r="W68" s="3"/>
      <c r="X68" s="3"/>
      <c r="Y68" s="3"/>
      <c r="Z68" s="3"/>
    </row>
    <row r="69" spans="1:26" ht="15.75" customHeight="1">
      <c r="A69" s="8"/>
      <c r="B69" s="8"/>
      <c r="C69" s="8"/>
      <c r="D69" s="8"/>
      <c r="E69" s="8"/>
      <c r="F69" s="8"/>
      <c r="G69" s="8"/>
      <c r="H69" s="8"/>
      <c r="I69" s="8"/>
      <c r="J69" s="8"/>
      <c r="K69" s="8"/>
      <c r="L69" s="8"/>
      <c r="M69" s="8"/>
      <c r="N69" s="3"/>
      <c r="O69" s="3"/>
      <c r="P69" s="3"/>
      <c r="Q69" s="3"/>
      <c r="R69" s="3"/>
      <c r="S69" s="3"/>
      <c r="T69" s="3"/>
      <c r="U69" s="3"/>
      <c r="V69" s="3"/>
      <c r="W69" s="3"/>
      <c r="X69" s="3"/>
      <c r="Y69" s="3"/>
      <c r="Z69" s="3"/>
    </row>
    <row r="70" spans="1:26" ht="15.75" customHeight="1">
      <c r="A70" s="8"/>
      <c r="B70" s="8"/>
      <c r="C70" s="8"/>
      <c r="D70" s="8"/>
      <c r="E70" s="8"/>
      <c r="F70" s="8"/>
      <c r="G70" s="8"/>
      <c r="H70" s="8"/>
      <c r="I70" s="8"/>
      <c r="J70" s="8"/>
      <c r="K70" s="8"/>
      <c r="L70" s="8"/>
      <c r="M70" s="8"/>
      <c r="N70" s="3"/>
      <c r="O70" s="3"/>
      <c r="P70" s="3"/>
      <c r="Q70" s="3"/>
      <c r="R70" s="3"/>
      <c r="S70" s="3"/>
      <c r="T70" s="3"/>
      <c r="U70" s="3"/>
      <c r="V70" s="3"/>
      <c r="W70" s="3"/>
      <c r="X70" s="3"/>
      <c r="Y70" s="3"/>
      <c r="Z70" s="3"/>
    </row>
    <row r="71" spans="1:26" ht="15.75" customHeight="1">
      <c r="A71" s="8"/>
      <c r="B71" s="8"/>
      <c r="C71" s="8"/>
      <c r="D71" s="8"/>
      <c r="E71" s="8"/>
      <c r="F71" s="8"/>
      <c r="G71" s="8"/>
      <c r="H71" s="8"/>
      <c r="I71" s="8"/>
      <c r="J71" s="8"/>
      <c r="K71" s="8"/>
      <c r="L71" s="8"/>
      <c r="M71" s="8"/>
      <c r="N71" s="3"/>
      <c r="O71" s="3"/>
      <c r="P71" s="3"/>
      <c r="Q71" s="3"/>
      <c r="R71" s="3"/>
      <c r="S71" s="3"/>
      <c r="T71" s="3"/>
      <c r="U71" s="3"/>
      <c r="V71" s="3"/>
      <c r="W71" s="3"/>
      <c r="X71" s="3"/>
      <c r="Y71" s="3"/>
      <c r="Z71" s="3"/>
    </row>
    <row r="72" spans="1:26" ht="15.75" customHeight="1">
      <c r="A72" s="8"/>
      <c r="B72" s="8"/>
      <c r="C72" s="8"/>
      <c r="D72" s="8"/>
      <c r="E72" s="8"/>
      <c r="F72" s="8"/>
      <c r="G72" s="8"/>
      <c r="H72" s="8"/>
      <c r="I72" s="8"/>
      <c r="J72" s="8"/>
      <c r="K72" s="8"/>
      <c r="L72" s="8"/>
      <c r="M72" s="8"/>
      <c r="N72" s="3"/>
      <c r="O72" s="3"/>
      <c r="P72" s="3"/>
      <c r="Q72" s="3"/>
      <c r="R72" s="3"/>
      <c r="S72" s="3"/>
      <c r="T72" s="3"/>
      <c r="U72" s="3"/>
      <c r="V72" s="3"/>
      <c r="W72" s="3"/>
      <c r="X72" s="3"/>
      <c r="Y72" s="3"/>
      <c r="Z72" s="3"/>
    </row>
    <row r="73" spans="1:26" ht="15.75" customHeight="1">
      <c r="A73" s="8"/>
      <c r="B73" s="8"/>
      <c r="C73" s="8"/>
      <c r="D73" s="8"/>
      <c r="E73" s="8"/>
      <c r="F73" s="8"/>
      <c r="G73" s="8"/>
      <c r="H73" s="8"/>
      <c r="I73" s="8"/>
      <c r="J73" s="8"/>
      <c r="K73" s="8"/>
      <c r="L73" s="8"/>
      <c r="M73" s="8"/>
      <c r="N73" s="3"/>
      <c r="O73" s="3"/>
      <c r="P73" s="3"/>
      <c r="Q73" s="3"/>
      <c r="R73" s="3"/>
      <c r="S73" s="3"/>
      <c r="T73" s="3"/>
      <c r="U73" s="3"/>
      <c r="V73" s="3"/>
      <c r="W73" s="3"/>
      <c r="X73" s="3"/>
      <c r="Y73" s="3"/>
      <c r="Z73" s="3"/>
    </row>
    <row r="74" spans="1:26" ht="15.75" customHeight="1">
      <c r="A74" s="8"/>
      <c r="B74" s="8"/>
      <c r="C74" s="8"/>
      <c r="D74" s="8"/>
      <c r="E74" s="8"/>
      <c r="F74" s="8"/>
      <c r="G74" s="8"/>
      <c r="H74" s="8"/>
      <c r="I74" s="8"/>
      <c r="J74" s="8"/>
      <c r="K74" s="8"/>
      <c r="L74" s="8"/>
      <c r="M74" s="8"/>
      <c r="N74" s="3"/>
      <c r="O74" s="3"/>
      <c r="P74" s="3"/>
      <c r="Q74" s="3"/>
      <c r="R74" s="3"/>
      <c r="S74" s="3"/>
      <c r="T74" s="3"/>
      <c r="U74" s="3"/>
      <c r="V74" s="3"/>
      <c r="W74" s="3"/>
      <c r="X74" s="3"/>
      <c r="Y74" s="3"/>
      <c r="Z74" s="3"/>
    </row>
    <row r="75" spans="1:26" ht="15.75" customHeight="1">
      <c r="A75" s="8"/>
      <c r="B75" s="8"/>
      <c r="C75" s="8"/>
      <c r="D75" s="8"/>
      <c r="E75" s="8"/>
      <c r="F75" s="8"/>
      <c r="G75" s="8"/>
      <c r="H75" s="8"/>
      <c r="I75" s="8"/>
      <c r="J75" s="8"/>
      <c r="K75" s="8"/>
      <c r="L75" s="8"/>
      <c r="M75" s="8"/>
      <c r="N75" s="3"/>
      <c r="O75" s="3"/>
      <c r="P75" s="3"/>
      <c r="Q75" s="3"/>
      <c r="R75" s="3"/>
      <c r="S75" s="3"/>
      <c r="T75" s="3"/>
      <c r="U75" s="3"/>
      <c r="V75" s="3"/>
      <c r="W75" s="3"/>
      <c r="X75" s="3"/>
      <c r="Y75" s="3"/>
      <c r="Z75" s="3"/>
    </row>
    <row r="76" spans="1:26" ht="15.75" customHeight="1">
      <c r="A76" s="8"/>
      <c r="B76" s="8"/>
      <c r="C76" s="8"/>
      <c r="D76" s="8"/>
      <c r="E76" s="8"/>
      <c r="F76" s="8"/>
      <c r="G76" s="8"/>
      <c r="H76" s="8"/>
      <c r="I76" s="8"/>
      <c r="J76" s="8"/>
      <c r="K76" s="8"/>
      <c r="L76" s="8"/>
      <c r="M76" s="8"/>
      <c r="N76" s="3"/>
      <c r="O76" s="3"/>
      <c r="P76" s="3"/>
      <c r="Q76" s="3"/>
      <c r="R76" s="3"/>
      <c r="S76" s="3"/>
      <c r="T76" s="3"/>
      <c r="U76" s="3"/>
      <c r="V76" s="3"/>
      <c r="W76" s="3"/>
      <c r="X76" s="3"/>
      <c r="Y76" s="3"/>
      <c r="Z76" s="3"/>
    </row>
    <row r="77" spans="1:26" ht="15.75" customHeight="1">
      <c r="A77" s="8"/>
      <c r="B77" s="8"/>
      <c r="C77" s="8"/>
      <c r="D77" s="8"/>
      <c r="E77" s="8"/>
      <c r="F77" s="8"/>
      <c r="G77" s="8"/>
      <c r="H77" s="8"/>
      <c r="I77" s="8"/>
      <c r="J77" s="8"/>
      <c r="K77" s="8"/>
      <c r="L77" s="8"/>
      <c r="M77" s="8"/>
      <c r="N77" s="3"/>
      <c r="O77" s="3"/>
      <c r="P77" s="3"/>
      <c r="Q77" s="3"/>
      <c r="R77" s="3"/>
      <c r="S77" s="3"/>
      <c r="T77" s="3"/>
      <c r="U77" s="3"/>
      <c r="V77" s="3"/>
      <c r="W77" s="3"/>
      <c r="X77" s="3"/>
      <c r="Y77" s="3"/>
      <c r="Z77" s="3"/>
    </row>
    <row r="78" spans="1:26" ht="15.75" customHeight="1">
      <c r="A78" s="8"/>
      <c r="B78" s="8"/>
      <c r="C78" s="8"/>
      <c r="D78" s="8"/>
      <c r="E78" s="8"/>
      <c r="F78" s="8"/>
      <c r="G78" s="8"/>
      <c r="H78" s="8"/>
      <c r="I78" s="8"/>
      <c r="J78" s="8"/>
      <c r="K78" s="8"/>
      <c r="L78" s="8"/>
      <c r="M78" s="8"/>
      <c r="N78" s="3"/>
      <c r="O78" s="3"/>
      <c r="P78" s="3"/>
      <c r="Q78" s="3"/>
      <c r="R78" s="3"/>
      <c r="S78" s="3"/>
      <c r="T78" s="3"/>
      <c r="U78" s="3"/>
      <c r="V78" s="3"/>
      <c r="W78" s="3"/>
      <c r="X78" s="3"/>
      <c r="Y78" s="3"/>
      <c r="Z78" s="3"/>
    </row>
    <row r="79" spans="1:26" ht="15.75" customHeight="1">
      <c r="A79" s="8"/>
      <c r="B79" s="8"/>
      <c r="C79" s="8"/>
      <c r="D79" s="8"/>
      <c r="E79" s="8"/>
      <c r="F79" s="8"/>
      <c r="G79" s="8"/>
      <c r="H79" s="8"/>
      <c r="I79" s="8"/>
      <c r="J79" s="8"/>
      <c r="K79" s="8"/>
      <c r="L79" s="8"/>
      <c r="M79" s="8"/>
      <c r="N79" s="3"/>
      <c r="O79" s="3"/>
      <c r="P79" s="3"/>
      <c r="Q79" s="3"/>
      <c r="R79" s="3"/>
      <c r="S79" s="3"/>
      <c r="T79" s="3"/>
      <c r="U79" s="3"/>
      <c r="V79" s="3"/>
      <c r="W79" s="3"/>
      <c r="X79" s="3"/>
      <c r="Y79" s="3"/>
      <c r="Z79" s="3"/>
    </row>
    <row r="80" spans="1:26" ht="15.75" customHeight="1">
      <c r="A80" s="8"/>
      <c r="B80" s="8"/>
      <c r="C80" s="8"/>
      <c r="D80" s="8"/>
      <c r="E80" s="8"/>
      <c r="F80" s="8"/>
      <c r="G80" s="8"/>
      <c r="H80" s="8"/>
      <c r="I80" s="8"/>
      <c r="J80" s="8"/>
      <c r="K80" s="8"/>
      <c r="L80" s="8"/>
      <c r="M80" s="8"/>
      <c r="N80" s="3"/>
      <c r="O80" s="3"/>
      <c r="P80" s="3"/>
      <c r="Q80" s="3"/>
      <c r="R80" s="3"/>
      <c r="S80" s="3"/>
      <c r="T80" s="3"/>
      <c r="U80" s="3"/>
      <c r="V80" s="3"/>
      <c r="W80" s="3"/>
      <c r="X80" s="3"/>
      <c r="Y80" s="3"/>
      <c r="Z80" s="3"/>
    </row>
    <row r="81" spans="1:26" ht="15.75" customHeight="1">
      <c r="A81" s="8"/>
      <c r="B81" s="8"/>
      <c r="C81" s="8"/>
      <c r="D81" s="8"/>
      <c r="E81" s="8"/>
      <c r="F81" s="8"/>
      <c r="G81" s="8"/>
      <c r="H81" s="8"/>
      <c r="I81" s="8"/>
      <c r="J81" s="8"/>
      <c r="K81" s="8"/>
      <c r="L81" s="8"/>
      <c r="M81" s="8"/>
      <c r="N81" s="3"/>
      <c r="O81" s="3"/>
      <c r="P81" s="3"/>
      <c r="Q81" s="3"/>
      <c r="R81" s="3"/>
      <c r="S81" s="3"/>
      <c r="T81" s="3"/>
      <c r="U81" s="3"/>
      <c r="V81" s="3"/>
      <c r="W81" s="3"/>
      <c r="X81" s="3"/>
      <c r="Y81" s="3"/>
      <c r="Z81" s="3"/>
    </row>
    <row r="82" spans="1:26" ht="15.75" customHeight="1">
      <c r="A82" s="8"/>
      <c r="B82" s="8"/>
      <c r="C82" s="8"/>
      <c r="D82" s="8"/>
      <c r="E82" s="8"/>
      <c r="F82" s="8"/>
      <c r="G82" s="8"/>
      <c r="H82" s="8"/>
      <c r="I82" s="8"/>
      <c r="J82" s="8"/>
      <c r="K82" s="8"/>
      <c r="L82" s="8"/>
      <c r="M82" s="8"/>
      <c r="N82" s="3"/>
      <c r="O82" s="3"/>
      <c r="P82" s="3"/>
      <c r="Q82" s="3"/>
      <c r="R82" s="3"/>
      <c r="S82" s="3"/>
      <c r="T82" s="3"/>
      <c r="U82" s="3"/>
      <c r="V82" s="3"/>
      <c r="W82" s="3"/>
      <c r="X82" s="3"/>
      <c r="Y82" s="3"/>
      <c r="Z82" s="3"/>
    </row>
    <row r="83" spans="1:26" ht="15.75" customHeight="1">
      <c r="A83" s="8"/>
      <c r="B83" s="8"/>
      <c r="C83" s="8"/>
      <c r="D83" s="8"/>
      <c r="E83" s="8"/>
      <c r="F83" s="8"/>
      <c r="G83" s="8"/>
      <c r="H83" s="8"/>
      <c r="I83" s="8"/>
      <c r="J83" s="8"/>
      <c r="K83" s="8"/>
      <c r="L83" s="8"/>
      <c r="M83" s="8"/>
      <c r="N83" s="3"/>
      <c r="O83" s="3"/>
      <c r="P83" s="3"/>
      <c r="Q83" s="3"/>
      <c r="R83" s="3"/>
      <c r="S83" s="3"/>
      <c r="T83" s="3"/>
      <c r="U83" s="3"/>
      <c r="V83" s="3"/>
      <c r="W83" s="3"/>
      <c r="X83" s="3"/>
      <c r="Y83" s="3"/>
      <c r="Z83" s="3"/>
    </row>
    <row r="84" spans="1:26" ht="15.75" customHeight="1">
      <c r="A84" s="8"/>
      <c r="B84" s="8"/>
      <c r="C84" s="8"/>
      <c r="D84" s="8"/>
      <c r="E84" s="8"/>
      <c r="F84" s="8"/>
      <c r="G84" s="8"/>
      <c r="H84" s="8"/>
      <c r="I84" s="8"/>
      <c r="J84" s="8"/>
      <c r="K84" s="8"/>
      <c r="L84" s="8"/>
      <c r="M84" s="8"/>
      <c r="N84" s="3"/>
      <c r="O84" s="3"/>
      <c r="P84" s="3"/>
      <c r="Q84" s="3"/>
      <c r="R84" s="3"/>
      <c r="S84" s="3"/>
      <c r="T84" s="3"/>
      <c r="U84" s="3"/>
      <c r="V84" s="3"/>
      <c r="W84" s="3"/>
      <c r="X84" s="3"/>
      <c r="Y84" s="3"/>
      <c r="Z84" s="3"/>
    </row>
    <row r="85" spans="1:26" ht="15.75" customHeight="1">
      <c r="A85" s="8"/>
      <c r="B85" s="8"/>
      <c r="C85" s="8"/>
      <c r="D85" s="8"/>
      <c r="E85" s="8"/>
      <c r="F85" s="8"/>
      <c r="G85" s="8"/>
      <c r="H85" s="8"/>
      <c r="I85" s="8"/>
      <c r="J85" s="8"/>
      <c r="K85" s="8"/>
      <c r="L85" s="8"/>
      <c r="M85" s="8"/>
      <c r="N85" s="3"/>
      <c r="O85" s="3"/>
      <c r="P85" s="3"/>
      <c r="Q85" s="3"/>
      <c r="R85" s="3"/>
      <c r="S85" s="3"/>
      <c r="T85" s="3"/>
      <c r="U85" s="3"/>
      <c r="V85" s="3"/>
      <c r="W85" s="3"/>
      <c r="X85" s="3"/>
      <c r="Y85" s="3"/>
      <c r="Z85" s="3"/>
    </row>
    <row r="86" spans="1:26" ht="15.75" customHeight="1">
      <c r="A86" s="8"/>
      <c r="B86" s="8"/>
      <c r="C86" s="8"/>
      <c r="D86" s="8"/>
      <c r="E86" s="8"/>
      <c r="F86" s="8"/>
      <c r="G86" s="8"/>
      <c r="H86" s="8"/>
      <c r="I86" s="8"/>
      <c r="J86" s="8"/>
      <c r="K86" s="8"/>
      <c r="L86" s="8"/>
      <c r="M86" s="8"/>
      <c r="N86" s="3"/>
      <c r="O86" s="3"/>
      <c r="P86" s="3"/>
      <c r="Q86" s="3"/>
      <c r="R86" s="3"/>
      <c r="S86" s="3"/>
      <c r="T86" s="3"/>
      <c r="U86" s="3"/>
      <c r="V86" s="3"/>
      <c r="W86" s="3"/>
      <c r="X86" s="3"/>
      <c r="Y86" s="3"/>
      <c r="Z86" s="3"/>
    </row>
    <row r="87" spans="1:26" ht="15.75" customHeight="1">
      <c r="A87" s="8"/>
      <c r="B87" s="8"/>
      <c r="C87" s="8"/>
      <c r="D87" s="8"/>
      <c r="E87" s="8"/>
      <c r="F87" s="8"/>
      <c r="G87" s="8"/>
      <c r="H87" s="8"/>
      <c r="I87" s="8"/>
      <c r="J87" s="8"/>
      <c r="K87" s="8"/>
      <c r="L87" s="8"/>
      <c r="M87" s="8"/>
      <c r="N87" s="3"/>
      <c r="O87" s="3"/>
      <c r="P87" s="3"/>
      <c r="Q87" s="3"/>
      <c r="R87" s="3"/>
      <c r="S87" s="3"/>
      <c r="T87" s="3"/>
      <c r="U87" s="3"/>
      <c r="V87" s="3"/>
      <c r="W87" s="3"/>
      <c r="X87" s="3"/>
      <c r="Y87" s="3"/>
      <c r="Z87" s="3"/>
    </row>
    <row r="88" spans="1:26" ht="15.75" customHeight="1">
      <c r="A88" s="8"/>
      <c r="B88" s="8"/>
      <c r="C88" s="8"/>
      <c r="D88" s="8"/>
      <c r="E88" s="8"/>
      <c r="F88" s="8"/>
      <c r="G88" s="8"/>
      <c r="H88" s="8"/>
      <c r="I88" s="8"/>
      <c r="J88" s="8"/>
      <c r="K88" s="8"/>
      <c r="L88" s="8"/>
      <c r="M88" s="8"/>
      <c r="N88" s="3"/>
      <c r="O88" s="3"/>
      <c r="P88" s="3"/>
      <c r="Q88" s="3"/>
      <c r="R88" s="3"/>
      <c r="S88" s="3"/>
      <c r="T88" s="3"/>
      <c r="U88" s="3"/>
      <c r="V88" s="3"/>
      <c r="W88" s="3"/>
      <c r="X88" s="3"/>
      <c r="Y88" s="3"/>
      <c r="Z88" s="3"/>
    </row>
    <row r="89" spans="1:26" ht="15.75" customHeight="1">
      <c r="A89" s="8"/>
      <c r="B89" s="8"/>
      <c r="C89" s="8"/>
      <c r="D89" s="8"/>
      <c r="E89" s="8"/>
      <c r="F89" s="8"/>
      <c r="G89" s="8"/>
      <c r="H89" s="8"/>
      <c r="I89" s="8"/>
      <c r="J89" s="8"/>
      <c r="K89" s="8"/>
      <c r="L89" s="8"/>
      <c r="M89" s="8"/>
      <c r="N89" s="3"/>
      <c r="O89" s="3"/>
      <c r="P89" s="3"/>
      <c r="Q89" s="3"/>
      <c r="R89" s="3"/>
      <c r="S89" s="3"/>
      <c r="T89" s="3"/>
      <c r="U89" s="3"/>
      <c r="V89" s="3"/>
      <c r="W89" s="3"/>
      <c r="X89" s="3"/>
      <c r="Y89" s="3"/>
      <c r="Z89" s="3"/>
    </row>
    <row r="90" spans="1:26" ht="15.75" customHeight="1">
      <c r="A90" s="8"/>
      <c r="B90" s="8"/>
      <c r="C90" s="8"/>
      <c r="D90" s="8"/>
      <c r="E90" s="8"/>
      <c r="F90" s="8"/>
      <c r="G90" s="8"/>
      <c r="H90" s="8"/>
      <c r="I90" s="8"/>
      <c r="J90" s="8"/>
      <c r="K90" s="8"/>
      <c r="L90" s="8"/>
      <c r="M90" s="8"/>
      <c r="N90" s="3"/>
      <c r="O90" s="3"/>
      <c r="P90" s="3"/>
      <c r="Q90" s="3"/>
      <c r="R90" s="3"/>
      <c r="S90" s="3"/>
      <c r="T90" s="3"/>
      <c r="U90" s="3"/>
      <c r="V90" s="3"/>
      <c r="W90" s="3"/>
      <c r="X90" s="3"/>
      <c r="Y90" s="3"/>
      <c r="Z90" s="3"/>
    </row>
    <row r="91" spans="1:26" ht="15.75" customHeight="1">
      <c r="A91" s="8"/>
      <c r="B91" s="8"/>
      <c r="C91" s="8"/>
      <c r="D91" s="8"/>
      <c r="E91" s="8"/>
      <c r="F91" s="8"/>
      <c r="G91" s="8"/>
      <c r="H91" s="8"/>
      <c r="I91" s="8"/>
      <c r="J91" s="8"/>
      <c r="K91" s="8"/>
      <c r="L91" s="8"/>
      <c r="M91" s="8"/>
      <c r="N91" s="3"/>
      <c r="O91" s="3"/>
      <c r="P91" s="3"/>
      <c r="Q91" s="3"/>
      <c r="R91" s="3"/>
      <c r="S91" s="3"/>
      <c r="T91" s="3"/>
      <c r="U91" s="3"/>
      <c r="V91" s="3"/>
      <c r="W91" s="3"/>
      <c r="X91" s="3"/>
      <c r="Y91" s="3"/>
      <c r="Z91" s="3"/>
    </row>
    <row r="92" spans="1:26" ht="15.75" customHeight="1">
      <c r="A92" s="8"/>
      <c r="B92" s="8"/>
      <c r="C92" s="8"/>
      <c r="D92" s="8"/>
      <c r="E92" s="8"/>
      <c r="F92" s="8"/>
      <c r="G92" s="8"/>
      <c r="H92" s="8"/>
      <c r="I92" s="8"/>
      <c r="J92" s="8"/>
      <c r="K92" s="8"/>
      <c r="L92" s="8"/>
      <c r="M92" s="8"/>
      <c r="N92" s="3"/>
      <c r="O92" s="3"/>
      <c r="P92" s="3"/>
      <c r="Q92" s="3"/>
      <c r="R92" s="3"/>
      <c r="S92" s="3"/>
      <c r="T92" s="3"/>
      <c r="U92" s="3"/>
      <c r="V92" s="3"/>
      <c r="W92" s="3"/>
      <c r="X92" s="3"/>
      <c r="Y92" s="3"/>
      <c r="Z92" s="3"/>
    </row>
    <row r="93" spans="1:26" ht="15.75" customHeight="1">
      <c r="A93" s="8"/>
      <c r="B93" s="8"/>
      <c r="C93" s="8"/>
      <c r="D93" s="8"/>
      <c r="E93" s="8"/>
      <c r="F93" s="8"/>
      <c r="G93" s="8"/>
      <c r="H93" s="8"/>
      <c r="I93" s="8"/>
      <c r="J93" s="8"/>
      <c r="K93" s="8"/>
      <c r="L93" s="8"/>
      <c r="M93" s="8"/>
      <c r="N93" s="3"/>
      <c r="O93" s="3"/>
      <c r="P93" s="3"/>
      <c r="Q93" s="3"/>
      <c r="R93" s="3"/>
      <c r="S93" s="3"/>
      <c r="T93" s="3"/>
      <c r="U93" s="3"/>
      <c r="V93" s="3"/>
      <c r="W93" s="3"/>
      <c r="X93" s="3"/>
      <c r="Y93" s="3"/>
      <c r="Z93" s="3"/>
    </row>
    <row r="94" spans="1:26" ht="15.75" customHeight="1">
      <c r="A94" s="8"/>
      <c r="B94" s="8"/>
      <c r="C94" s="8"/>
      <c r="D94" s="8"/>
      <c r="E94" s="8"/>
      <c r="F94" s="8"/>
      <c r="G94" s="8"/>
      <c r="H94" s="8"/>
      <c r="I94" s="8"/>
      <c r="J94" s="8"/>
      <c r="K94" s="8"/>
      <c r="L94" s="8"/>
      <c r="M94" s="8"/>
      <c r="N94" s="3"/>
      <c r="O94" s="3"/>
      <c r="P94" s="3"/>
      <c r="Q94" s="3"/>
      <c r="R94" s="3"/>
      <c r="S94" s="3"/>
      <c r="T94" s="3"/>
      <c r="U94" s="3"/>
      <c r="V94" s="3"/>
      <c r="W94" s="3"/>
      <c r="X94" s="3"/>
      <c r="Y94" s="3"/>
      <c r="Z94" s="3"/>
    </row>
    <row r="95" spans="1:26" ht="15.75" customHeight="1">
      <c r="A95" s="8"/>
      <c r="B95" s="8"/>
      <c r="C95" s="8"/>
      <c r="D95" s="8"/>
      <c r="E95" s="8"/>
      <c r="F95" s="8"/>
      <c r="G95" s="8"/>
      <c r="H95" s="8"/>
      <c r="I95" s="8"/>
      <c r="J95" s="8"/>
      <c r="K95" s="8"/>
      <c r="L95" s="8"/>
      <c r="M95" s="8"/>
      <c r="N95" s="3"/>
      <c r="O95" s="3"/>
      <c r="P95" s="3"/>
      <c r="Q95" s="3"/>
      <c r="R95" s="3"/>
      <c r="S95" s="3"/>
      <c r="T95" s="3"/>
      <c r="U95" s="3"/>
      <c r="V95" s="3"/>
      <c r="W95" s="3"/>
      <c r="X95" s="3"/>
      <c r="Y95" s="3"/>
      <c r="Z95" s="3"/>
    </row>
    <row r="96" spans="1:26" ht="15.75" customHeight="1">
      <c r="A96" s="8"/>
      <c r="B96" s="8"/>
      <c r="C96" s="8"/>
      <c r="D96" s="8"/>
      <c r="E96" s="8"/>
      <c r="F96" s="8"/>
      <c r="G96" s="8"/>
      <c r="H96" s="8"/>
      <c r="I96" s="8"/>
      <c r="J96" s="8"/>
      <c r="K96" s="8"/>
      <c r="L96" s="8"/>
      <c r="M96" s="8"/>
      <c r="N96" s="3"/>
      <c r="O96" s="3"/>
      <c r="P96" s="3"/>
      <c r="Q96" s="3"/>
      <c r="R96" s="3"/>
      <c r="S96" s="3"/>
      <c r="T96" s="3"/>
      <c r="U96" s="3"/>
      <c r="V96" s="3"/>
      <c r="W96" s="3"/>
      <c r="X96" s="3"/>
      <c r="Y96" s="3"/>
      <c r="Z96" s="3"/>
    </row>
    <row r="97" spans="1:26" ht="15.75" customHeight="1">
      <c r="A97" s="8"/>
      <c r="B97" s="8"/>
      <c r="C97" s="8"/>
      <c r="D97" s="8"/>
      <c r="E97" s="8"/>
      <c r="F97" s="8"/>
      <c r="G97" s="8"/>
      <c r="H97" s="8"/>
      <c r="I97" s="8"/>
      <c r="J97" s="8"/>
      <c r="K97" s="8"/>
      <c r="L97" s="8"/>
      <c r="M97" s="8"/>
      <c r="N97" s="3"/>
      <c r="O97" s="3"/>
      <c r="P97" s="3"/>
      <c r="Q97" s="3"/>
      <c r="R97" s="3"/>
      <c r="S97" s="3"/>
      <c r="T97" s="3"/>
      <c r="U97" s="3"/>
      <c r="V97" s="3"/>
      <c r="W97" s="3"/>
      <c r="X97" s="3"/>
      <c r="Y97" s="3"/>
      <c r="Z97" s="3"/>
    </row>
    <row r="98" spans="1:26" ht="15.75" customHeight="1">
      <c r="A98" s="8"/>
      <c r="B98" s="8"/>
      <c r="C98" s="8"/>
      <c r="D98" s="8"/>
      <c r="E98" s="8"/>
      <c r="F98" s="8"/>
      <c r="G98" s="8"/>
      <c r="H98" s="8"/>
      <c r="I98" s="8"/>
      <c r="J98" s="8"/>
      <c r="K98" s="8"/>
      <c r="L98" s="8"/>
      <c r="M98" s="8"/>
      <c r="N98" s="3"/>
      <c r="O98" s="3"/>
      <c r="P98" s="3"/>
      <c r="Q98" s="3"/>
      <c r="R98" s="3"/>
      <c r="S98" s="3"/>
      <c r="T98" s="3"/>
      <c r="U98" s="3"/>
      <c r="V98" s="3"/>
      <c r="W98" s="3"/>
      <c r="X98" s="3"/>
      <c r="Y98" s="3"/>
      <c r="Z98" s="3"/>
    </row>
    <row r="99" spans="1:26" ht="15.75" customHeight="1">
      <c r="A99" s="8"/>
      <c r="B99" s="8"/>
      <c r="C99" s="8"/>
      <c r="D99" s="8"/>
      <c r="E99" s="8"/>
      <c r="F99" s="8"/>
      <c r="G99" s="8"/>
      <c r="H99" s="8"/>
      <c r="I99" s="8"/>
      <c r="J99" s="8"/>
      <c r="K99" s="8"/>
      <c r="L99" s="8"/>
      <c r="M99" s="8"/>
      <c r="N99" s="3"/>
      <c r="O99" s="3"/>
      <c r="P99" s="3"/>
      <c r="Q99" s="3"/>
      <c r="R99" s="3"/>
      <c r="S99" s="3"/>
      <c r="T99" s="3"/>
      <c r="U99" s="3"/>
      <c r="V99" s="3"/>
      <c r="W99" s="3"/>
      <c r="X99" s="3"/>
      <c r="Y99" s="3"/>
      <c r="Z99" s="3"/>
    </row>
    <row r="100" spans="1:26" ht="15.75" customHeight="1">
      <c r="A100" s="8"/>
      <c r="B100" s="8"/>
      <c r="C100" s="8"/>
      <c r="D100" s="8"/>
      <c r="E100" s="8"/>
      <c r="F100" s="8"/>
      <c r="G100" s="8"/>
      <c r="H100" s="8"/>
      <c r="I100" s="8"/>
      <c r="J100" s="8"/>
      <c r="K100" s="8"/>
      <c r="L100" s="8"/>
      <c r="M100" s="8"/>
      <c r="N100" s="3"/>
      <c r="O100" s="3"/>
      <c r="P100" s="3"/>
      <c r="Q100" s="3"/>
      <c r="R100" s="3"/>
      <c r="S100" s="3"/>
      <c r="T100" s="3"/>
      <c r="U100" s="3"/>
      <c r="V100" s="3"/>
      <c r="W100" s="3"/>
      <c r="X100" s="3"/>
      <c r="Y100" s="3"/>
      <c r="Z100" s="3"/>
    </row>
    <row r="101" spans="1:26" ht="15.75" customHeight="1">
      <c r="A101" s="8"/>
      <c r="B101" s="8"/>
      <c r="C101" s="8"/>
      <c r="D101" s="8"/>
      <c r="E101" s="8"/>
      <c r="F101" s="8"/>
      <c r="G101" s="8"/>
      <c r="H101" s="8"/>
      <c r="I101" s="8"/>
      <c r="J101" s="8"/>
      <c r="K101" s="8"/>
      <c r="L101" s="8"/>
      <c r="M101" s="8"/>
      <c r="N101" s="3"/>
      <c r="O101" s="3"/>
      <c r="P101" s="3"/>
      <c r="Q101" s="3"/>
      <c r="R101" s="3"/>
      <c r="S101" s="3"/>
      <c r="T101" s="3"/>
      <c r="U101" s="3"/>
      <c r="V101" s="3"/>
      <c r="W101" s="3"/>
      <c r="X101" s="3"/>
      <c r="Y101" s="3"/>
      <c r="Z101" s="3"/>
    </row>
    <row r="102" spans="1:26" ht="15.75" customHeight="1">
      <c r="A102" s="8"/>
      <c r="B102" s="8"/>
      <c r="C102" s="8"/>
      <c r="D102" s="8"/>
      <c r="E102" s="8"/>
      <c r="F102" s="8"/>
      <c r="G102" s="8"/>
      <c r="H102" s="8"/>
      <c r="I102" s="8"/>
      <c r="J102" s="8"/>
      <c r="K102" s="8"/>
      <c r="L102" s="8"/>
      <c r="M102" s="8"/>
      <c r="N102" s="3"/>
      <c r="O102" s="3"/>
      <c r="P102" s="3"/>
      <c r="Q102" s="3"/>
      <c r="R102" s="3"/>
      <c r="S102" s="3"/>
      <c r="T102" s="3"/>
      <c r="U102" s="3"/>
      <c r="V102" s="3"/>
      <c r="W102" s="3"/>
      <c r="X102" s="3"/>
      <c r="Y102" s="3"/>
      <c r="Z102" s="3"/>
    </row>
    <row r="103" spans="1:26" ht="15.75" customHeight="1">
      <c r="A103" s="8"/>
      <c r="B103" s="8"/>
      <c r="C103" s="8"/>
      <c r="D103" s="8"/>
      <c r="E103" s="8"/>
      <c r="F103" s="8"/>
      <c r="G103" s="8"/>
      <c r="H103" s="8"/>
      <c r="I103" s="8"/>
      <c r="J103" s="8"/>
      <c r="K103" s="8"/>
      <c r="L103" s="8"/>
      <c r="M103" s="8"/>
      <c r="N103" s="3"/>
      <c r="O103" s="3"/>
      <c r="P103" s="3"/>
      <c r="Q103" s="3"/>
      <c r="R103" s="3"/>
      <c r="S103" s="3"/>
      <c r="T103" s="3"/>
      <c r="U103" s="3"/>
      <c r="V103" s="3"/>
      <c r="W103" s="3"/>
      <c r="X103" s="3"/>
      <c r="Y103" s="3"/>
      <c r="Z103" s="3"/>
    </row>
    <row r="104" spans="1:26" ht="15.75" customHeight="1">
      <c r="A104" s="8"/>
      <c r="B104" s="8"/>
      <c r="C104" s="8"/>
      <c r="D104" s="8"/>
      <c r="E104" s="8"/>
      <c r="F104" s="8"/>
      <c r="G104" s="8"/>
      <c r="H104" s="8"/>
      <c r="I104" s="8"/>
      <c r="J104" s="8"/>
      <c r="K104" s="8"/>
      <c r="L104" s="8"/>
      <c r="M104" s="8"/>
      <c r="N104" s="3"/>
      <c r="O104" s="3"/>
      <c r="P104" s="3"/>
      <c r="Q104" s="3"/>
      <c r="R104" s="3"/>
      <c r="S104" s="3"/>
      <c r="T104" s="3"/>
      <c r="U104" s="3"/>
      <c r="V104" s="3"/>
      <c r="W104" s="3"/>
      <c r="X104" s="3"/>
      <c r="Y104" s="3"/>
      <c r="Z104" s="3"/>
    </row>
    <row r="105" spans="1:26" ht="15.75" customHeight="1">
      <c r="A105" s="8"/>
      <c r="B105" s="8"/>
      <c r="C105" s="8"/>
      <c r="D105" s="8"/>
      <c r="E105" s="8"/>
      <c r="F105" s="8"/>
      <c r="G105" s="8"/>
      <c r="H105" s="8"/>
      <c r="I105" s="8"/>
      <c r="J105" s="8"/>
      <c r="K105" s="8"/>
      <c r="L105" s="8"/>
      <c r="M105" s="8"/>
      <c r="N105" s="3"/>
      <c r="O105" s="3"/>
      <c r="P105" s="3"/>
      <c r="Q105" s="3"/>
      <c r="R105" s="3"/>
      <c r="S105" s="3"/>
      <c r="T105" s="3"/>
      <c r="U105" s="3"/>
      <c r="V105" s="3"/>
      <c r="W105" s="3"/>
      <c r="X105" s="3"/>
      <c r="Y105" s="3"/>
      <c r="Z105" s="3"/>
    </row>
    <row r="106" spans="1:26" ht="15.75" customHeight="1">
      <c r="A106" s="8"/>
      <c r="B106" s="8"/>
      <c r="C106" s="8"/>
      <c r="D106" s="8"/>
      <c r="E106" s="8"/>
      <c r="F106" s="8"/>
      <c r="G106" s="8"/>
      <c r="H106" s="8"/>
      <c r="I106" s="8"/>
      <c r="J106" s="8"/>
      <c r="K106" s="8"/>
      <c r="L106" s="8"/>
      <c r="M106" s="8"/>
      <c r="N106" s="3"/>
      <c r="O106" s="3"/>
      <c r="P106" s="3"/>
      <c r="Q106" s="3"/>
      <c r="R106" s="3"/>
      <c r="S106" s="3"/>
      <c r="T106" s="3"/>
      <c r="U106" s="3"/>
      <c r="V106" s="3"/>
      <c r="W106" s="3"/>
      <c r="X106" s="3"/>
      <c r="Y106" s="3"/>
      <c r="Z106" s="3"/>
    </row>
    <row r="107" spans="1:26" ht="15.75" customHeight="1">
      <c r="A107" s="8"/>
      <c r="B107" s="8"/>
      <c r="C107" s="8"/>
      <c r="D107" s="8"/>
      <c r="E107" s="8"/>
      <c r="F107" s="8"/>
      <c r="G107" s="8"/>
      <c r="H107" s="8"/>
      <c r="I107" s="8"/>
      <c r="J107" s="8"/>
      <c r="K107" s="8"/>
      <c r="L107" s="8"/>
      <c r="M107" s="8"/>
      <c r="N107" s="3"/>
      <c r="O107" s="3"/>
      <c r="P107" s="3"/>
      <c r="Q107" s="3"/>
      <c r="R107" s="3"/>
      <c r="S107" s="3"/>
      <c r="T107" s="3"/>
      <c r="U107" s="3"/>
      <c r="V107" s="3"/>
      <c r="W107" s="3"/>
      <c r="X107" s="3"/>
      <c r="Y107" s="3"/>
      <c r="Z107" s="3"/>
    </row>
    <row r="108" spans="1:26" ht="15.75" customHeight="1">
      <c r="A108" s="8"/>
      <c r="B108" s="8"/>
      <c r="C108" s="8"/>
      <c r="D108" s="8"/>
      <c r="E108" s="8"/>
      <c r="F108" s="8"/>
      <c r="G108" s="8"/>
      <c r="H108" s="8"/>
      <c r="I108" s="8"/>
      <c r="J108" s="8"/>
      <c r="K108" s="8"/>
      <c r="L108" s="8"/>
      <c r="M108" s="8"/>
      <c r="N108" s="3"/>
      <c r="O108" s="3"/>
      <c r="P108" s="3"/>
      <c r="Q108" s="3"/>
      <c r="R108" s="3"/>
      <c r="S108" s="3"/>
      <c r="T108" s="3"/>
      <c r="U108" s="3"/>
      <c r="V108" s="3"/>
      <c r="W108" s="3"/>
      <c r="X108" s="3"/>
      <c r="Y108" s="3"/>
      <c r="Z108" s="3"/>
    </row>
    <row r="109" spans="1:26" ht="15.75" customHeight="1">
      <c r="A109" s="8"/>
      <c r="B109" s="8"/>
      <c r="C109" s="8"/>
      <c r="D109" s="8"/>
      <c r="E109" s="8"/>
      <c r="F109" s="8"/>
      <c r="G109" s="8"/>
      <c r="H109" s="8"/>
      <c r="I109" s="8"/>
      <c r="J109" s="8"/>
      <c r="K109" s="8"/>
      <c r="L109" s="8"/>
      <c r="M109" s="8"/>
      <c r="N109" s="3"/>
      <c r="O109" s="3"/>
      <c r="P109" s="3"/>
      <c r="Q109" s="3"/>
      <c r="R109" s="3"/>
      <c r="S109" s="3"/>
      <c r="T109" s="3"/>
      <c r="U109" s="3"/>
      <c r="V109" s="3"/>
      <c r="W109" s="3"/>
      <c r="X109" s="3"/>
      <c r="Y109" s="3"/>
      <c r="Z109" s="3"/>
    </row>
    <row r="110" spans="1:26" ht="15.75" customHeight="1">
      <c r="A110" s="8"/>
      <c r="B110" s="8"/>
      <c r="C110" s="8"/>
      <c r="D110" s="8"/>
      <c r="E110" s="8"/>
      <c r="F110" s="8"/>
      <c r="G110" s="8"/>
      <c r="H110" s="8"/>
      <c r="I110" s="8"/>
      <c r="J110" s="8"/>
      <c r="K110" s="8"/>
      <c r="L110" s="8"/>
      <c r="M110" s="8"/>
      <c r="N110" s="3"/>
      <c r="O110" s="3"/>
      <c r="P110" s="3"/>
      <c r="Q110" s="3"/>
      <c r="R110" s="3"/>
      <c r="S110" s="3"/>
      <c r="T110" s="3"/>
      <c r="U110" s="3"/>
      <c r="V110" s="3"/>
      <c r="W110" s="3"/>
      <c r="X110" s="3"/>
      <c r="Y110" s="3"/>
      <c r="Z110" s="3"/>
    </row>
    <row r="111" spans="1:26" ht="15.75" customHeight="1">
      <c r="A111" s="8"/>
      <c r="B111" s="8"/>
      <c r="C111" s="8"/>
      <c r="D111" s="8"/>
      <c r="E111" s="8"/>
      <c r="F111" s="8"/>
      <c r="G111" s="8"/>
      <c r="H111" s="8"/>
      <c r="I111" s="8"/>
      <c r="J111" s="8"/>
      <c r="K111" s="8"/>
      <c r="L111" s="8"/>
      <c r="M111" s="8"/>
      <c r="N111" s="3"/>
      <c r="O111" s="3"/>
      <c r="P111" s="3"/>
      <c r="Q111" s="3"/>
      <c r="R111" s="3"/>
      <c r="S111" s="3"/>
      <c r="T111" s="3"/>
      <c r="U111" s="3"/>
      <c r="V111" s="3"/>
      <c r="W111" s="3"/>
      <c r="X111" s="3"/>
      <c r="Y111" s="3"/>
      <c r="Z111" s="3"/>
    </row>
    <row r="112" spans="1:26" ht="15.75" customHeight="1">
      <c r="A112" s="8"/>
      <c r="B112" s="8"/>
      <c r="C112" s="8"/>
      <c r="D112" s="8"/>
      <c r="E112" s="8"/>
      <c r="F112" s="8"/>
      <c r="G112" s="8"/>
      <c r="H112" s="8"/>
      <c r="I112" s="8"/>
      <c r="J112" s="8"/>
      <c r="K112" s="8"/>
      <c r="L112" s="8"/>
      <c r="M112" s="8"/>
      <c r="N112" s="3"/>
      <c r="O112" s="3"/>
      <c r="P112" s="3"/>
      <c r="Q112" s="3"/>
      <c r="R112" s="3"/>
      <c r="S112" s="3"/>
      <c r="T112" s="3"/>
      <c r="U112" s="3"/>
      <c r="V112" s="3"/>
      <c r="W112" s="3"/>
      <c r="X112" s="3"/>
      <c r="Y112" s="3"/>
      <c r="Z112" s="3"/>
    </row>
    <row r="113" spans="1:26" ht="15.75" customHeight="1">
      <c r="A113" s="8"/>
      <c r="B113" s="8"/>
      <c r="C113" s="8"/>
      <c r="D113" s="8"/>
      <c r="E113" s="8"/>
      <c r="F113" s="8"/>
      <c r="G113" s="8"/>
      <c r="H113" s="8"/>
      <c r="I113" s="8"/>
      <c r="J113" s="8"/>
      <c r="K113" s="8"/>
      <c r="L113" s="8"/>
      <c r="M113" s="8"/>
      <c r="N113" s="3"/>
      <c r="O113" s="3"/>
      <c r="P113" s="3"/>
      <c r="Q113" s="3"/>
      <c r="R113" s="3"/>
      <c r="S113" s="3"/>
      <c r="T113" s="3"/>
      <c r="U113" s="3"/>
      <c r="V113" s="3"/>
      <c r="W113" s="3"/>
      <c r="X113" s="3"/>
      <c r="Y113" s="3"/>
      <c r="Z113" s="3"/>
    </row>
    <row r="114" spans="1:26" ht="15.75" customHeight="1">
      <c r="A114" s="8"/>
      <c r="B114" s="8"/>
      <c r="C114" s="8"/>
      <c r="D114" s="8"/>
      <c r="E114" s="8"/>
      <c r="F114" s="8"/>
      <c r="G114" s="8"/>
      <c r="H114" s="8"/>
      <c r="I114" s="8"/>
      <c r="J114" s="8"/>
      <c r="K114" s="8"/>
      <c r="L114" s="8"/>
      <c r="M114" s="8"/>
      <c r="N114" s="3"/>
      <c r="O114" s="3"/>
      <c r="P114" s="3"/>
      <c r="Q114" s="3"/>
      <c r="R114" s="3"/>
      <c r="S114" s="3"/>
      <c r="T114" s="3"/>
      <c r="U114" s="3"/>
      <c r="V114" s="3"/>
      <c r="W114" s="3"/>
      <c r="X114" s="3"/>
      <c r="Y114" s="3"/>
      <c r="Z114" s="3"/>
    </row>
    <row r="115" spans="1:26" ht="15.75" customHeight="1">
      <c r="A115" s="8"/>
      <c r="B115" s="8"/>
      <c r="C115" s="8"/>
      <c r="D115" s="8"/>
      <c r="E115" s="8"/>
      <c r="F115" s="8"/>
      <c r="G115" s="8"/>
      <c r="H115" s="8"/>
      <c r="I115" s="8"/>
      <c r="J115" s="8"/>
      <c r="K115" s="8"/>
      <c r="L115" s="8"/>
      <c r="M115" s="8"/>
      <c r="N115" s="3"/>
      <c r="O115" s="3"/>
      <c r="P115" s="3"/>
      <c r="Q115" s="3"/>
      <c r="R115" s="3"/>
      <c r="S115" s="3"/>
      <c r="T115" s="3"/>
      <c r="U115" s="3"/>
      <c r="V115" s="3"/>
      <c r="W115" s="3"/>
      <c r="X115" s="3"/>
      <c r="Y115" s="3"/>
      <c r="Z115" s="3"/>
    </row>
    <row r="116" spans="1:26" ht="15.75" customHeight="1">
      <c r="A116" s="8"/>
      <c r="B116" s="8"/>
      <c r="C116" s="8"/>
      <c r="D116" s="8"/>
      <c r="E116" s="8"/>
      <c r="F116" s="8"/>
      <c r="G116" s="8"/>
      <c r="H116" s="8"/>
      <c r="I116" s="8"/>
      <c r="J116" s="8"/>
      <c r="K116" s="8"/>
      <c r="L116" s="8"/>
      <c r="M116" s="8"/>
      <c r="N116" s="3"/>
      <c r="O116" s="3"/>
      <c r="P116" s="3"/>
      <c r="Q116" s="3"/>
      <c r="R116" s="3"/>
      <c r="S116" s="3"/>
      <c r="T116" s="3"/>
      <c r="U116" s="3"/>
      <c r="V116" s="3"/>
      <c r="W116" s="3"/>
      <c r="X116" s="3"/>
      <c r="Y116" s="3"/>
      <c r="Z116" s="3"/>
    </row>
    <row r="117" spans="1:26" ht="15.75" customHeight="1">
      <c r="A117" s="8"/>
      <c r="B117" s="8"/>
      <c r="C117" s="8"/>
      <c r="D117" s="8"/>
      <c r="E117" s="8"/>
      <c r="F117" s="8"/>
      <c r="G117" s="8"/>
      <c r="H117" s="8"/>
      <c r="I117" s="8"/>
      <c r="J117" s="8"/>
      <c r="K117" s="8"/>
      <c r="L117" s="8"/>
      <c r="M117" s="8"/>
      <c r="N117" s="3"/>
      <c r="O117" s="3"/>
      <c r="P117" s="3"/>
      <c r="Q117" s="3"/>
      <c r="R117" s="3"/>
      <c r="S117" s="3"/>
      <c r="T117" s="3"/>
      <c r="U117" s="3"/>
      <c r="V117" s="3"/>
      <c r="W117" s="3"/>
      <c r="X117" s="3"/>
      <c r="Y117" s="3"/>
      <c r="Z117" s="3"/>
    </row>
    <row r="118" spans="1:26" ht="15.75" customHeight="1">
      <c r="A118" s="8"/>
      <c r="B118" s="8"/>
      <c r="C118" s="8"/>
      <c r="D118" s="8"/>
      <c r="E118" s="8"/>
      <c r="F118" s="8"/>
      <c r="G118" s="8"/>
      <c r="H118" s="8"/>
      <c r="I118" s="8"/>
      <c r="J118" s="8"/>
      <c r="K118" s="8"/>
      <c r="L118" s="8"/>
      <c r="M118" s="8"/>
      <c r="N118" s="3"/>
      <c r="O118" s="3"/>
      <c r="P118" s="3"/>
      <c r="Q118" s="3"/>
      <c r="R118" s="3"/>
      <c r="S118" s="3"/>
      <c r="T118" s="3"/>
      <c r="U118" s="3"/>
      <c r="V118" s="3"/>
      <c r="W118" s="3"/>
      <c r="X118" s="3"/>
      <c r="Y118" s="3"/>
      <c r="Z118" s="3"/>
    </row>
    <row r="119" spans="1:26" ht="15.75" customHeight="1">
      <c r="A119" s="8"/>
      <c r="B119" s="8"/>
      <c r="C119" s="8"/>
      <c r="D119" s="8"/>
      <c r="E119" s="8"/>
      <c r="F119" s="8"/>
      <c r="G119" s="8"/>
      <c r="H119" s="8"/>
      <c r="I119" s="8"/>
      <c r="J119" s="8"/>
      <c r="K119" s="8"/>
      <c r="L119" s="8"/>
      <c r="M119" s="8"/>
      <c r="N119" s="3"/>
      <c r="O119" s="3"/>
      <c r="P119" s="3"/>
      <c r="Q119" s="3"/>
      <c r="R119" s="3"/>
      <c r="S119" s="3"/>
      <c r="T119" s="3"/>
      <c r="U119" s="3"/>
      <c r="V119" s="3"/>
      <c r="W119" s="3"/>
      <c r="X119" s="3"/>
      <c r="Y119" s="3"/>
      <c r="Z119" s="3"/>
    </row>
    <row r="120" spans="1:26" ht="15.75" customHeight="1">
      <c r="A120" s="8"/>
      <c r="B120" s="8"/>
      <c r="C120" s="8"/>
      <c r="D120" s="8"/>
      <c r="E120" s="8"/>
      <c r="F120" s="8"/>
      <c r="G120" s="8"/>
      <c r="H120" s="8"/>
      <c r="I120" s="8"/>
      <c r="J120" s="8"/>
      <c r="K120" s="8"/>
      <c r="L120" s="8"/>
      <c r="M120" s="8"/>
      <c r="N120" s="3"/>
      <c r="O120" s="3"/>
      <c r="P120" s="3"/>
      <c r="Q120" s="3"/>
      <c r="R120" s="3"/>
      <c r="S120" s="3"/>
      <c r="T120" s="3"/>
      <c r="U120" s="3"/>
      <c r="V120" s="3"/>
      <c r="W120" s="3"/>
      <c r="X120" s="3"/>
      <c r="Y120" s="3"/>
      <c r="Z120" s="3"/>
    </row>
    <row r="121" spans="1:26" ht="15.75" customHeight="1">
      <c r="A121" s="8"/>
      <c r="B121" s="8"/>
      <c r="C121" s="8"/>
      <c r="D121" s="8"/>
      <c r="E121" s="8"/>
      <c r="F121" s="8"/>
      <c r="G121" s="8"/>
      <c r="H121" s="8"/>
      <c r="I121" s="8"/>
      <c r="J121" s="8"/>
      <c r="K121" s="8"/>
      <c r="L121" s="8"/>
      <c r="M121" s="8"/>
      <c r="N121" s="3"/>
      <c r="O121" s="3"/>
      <c r="P121" s="3"/>
      <c r="Q121" s="3"/>
      <c r="R121" s="3"/>
      <c r="S121" s="3"/>
      <c r="T121" s="3"/>
      <c r="U121" s="3"/>
      <c r="V121" s="3"/>
      <c r="W121" s="3"/>
      <c r="X121" s="3"/>
      <c r="Y121" s="3"/>
      <c r="Z121" s="3"/>
    </row>
    <row r="122" spans="1:26" ht="15.75" customHeight="1">
      <c r="A122" s="8"/>
      <c r="B122" s="8"/>
      <c r="C122" s="8"/>
      <c r="D122" s="8"/>
      <c r="E122" s="8"/>
      <c r="F122" s="8"/>
      <c r="G122" s="8"/>
      <c r="H122" s="8"/>
      <c r="I122" s="8"/>
      <c r="J122" s="8"/>
      <c r="K122" s="8"/>
      <c r="L122" s="8"/>
      <c r="M122" s="8"/>
      <c r="N122" s="3"/>
      <c r="O122" s="3"/>
      <c r="P122" s="3"/>
      <c r="Q122" s="3"/>
      <c r="R122" s="3"/>
      <c r="S122" s="3"/>
      <c r="T122" s="3"/>
      <c r="U122" s="3"/>
      <c r="V122" s="3"/>
      <c r="W122" s="3"/>
      <c r="X122" s="3"/>
      <c r="Y122" s="3"/>
      <c r="Z122" s="3"/>
    </row>
    <row r="123" spans="1:26" ht="15.75" customHeight="1">
      <c r="A123" s="8"/>
      <c r="B123" s="8"/>
      <c r="C123" s="8"/>
      <c r="D123" s="8"/>
      <c r="E123" s="8"/>
      <c r="F123" s="8"/>
      <c r="G123" s="8"/>
      <c r="H123" s="8"/>
      <c r="I123" s="8"/>
      <c r="J123" s="8"/>
      <c r="K123" s="8"/>
      <c r="L123" s="8"/>
      <c r="M123" s="8"/>
      <c r="N123" s="3"/>
      <c r="O123" s="3"/>
      <c r="P123" s="3"/>
      <c r="Q123" s="3"/>
      <c r="R123" s="3"/>
      <c r="S123" s="3"/>
      <c r="T123" s="3"/>
      <c r="U123" s="3"/>
      <c r="V123" s="3"/>
      <c r="W123" s="3"/>
      <c r="X123" s="3"/>
      <c r="Y123" s="3"/>
      <c r="Z123" s="3"/>
    </row>
    <row r="124" spans="1:26" ht="15.75" customHeight="1">
      <c r="A124" s="8"/>
      <c r="B124" s="8"/>
      <c r="C124" s="8"/>
      <c r="D124" s="8"/>
      <c r="E124" s="8"/>
      <c r="F124" s="8"/>
      <c r="G124" s="8"/>
      <c r="H124" s="8"/>
      <c r="I124" s="8"/>
      <c r="J124" s="8"/>
      <c r="K124" s="8"/>
      <c r="L124" s="8"/>
      <c r="M124" s="8"/>
      <c r="N124" s="3"/>
      <c r="O124" s="3"/>
      <c r="P124" s="3"/>
      <c r="Q124" s="3"/>
      <c r="R124" s="3"/>
      <c r="S124" s="3"/>
      <c r="T124" s="3"/>
      <c r="U124" s="3"/>
      <c r="V124" s="3"/>
      <c r="W124" s="3"/>
      <c r="X124" s="3"/>
      <c r="Y124" s="3"/>
      <c r="Z124" s="3"/>
    </row>
    <row r="125" spans="1:26" ht="15.75" customHeight="1">
      <c r="A125" s="8"/>
      <c r="B125" s="8"/>
      <c r="C125" s="8"/>
      <c r="D125" s="8"/>
      <c r="E125" s="8"/>
      <c r="F125" s="8"/>
      <c r="G125" s="8"/>
      <c r="H125" s="8"/>
      <c r="I125" s="8"/>
      <c r="J125" s="8"/>
      <c r="K125" s="8"/>
      <c r="L125" s="8"/>
      <c r="M125" s="8"/>
      <c r="N125" s="3"/>
      <c r="O125" s="3"/>
      <c r="P125" s="3"/>
      <c r="Q125" s="3"/>
      <c r="R125" s="3"/>
      <c r="S125" s="3"/>
      <c r="T125" s="3"/>
      <c r="U125" s="3"/>
      <c r="V125" s="3"/>
      <c r="W125" s="3"/>
      <c r="X125" s="3"/>
      <c r="Y125" s="3"/>
      <c r="Z125" s="3"/>
    </row>
    <row r="126" spans="1:26" ht="15.75" customHeight="1">
      <c r="A126" s="8"/>
      <c r="B126" s="8"/>
      <c r="C126" s="8"/>
      <c r="D126" s="8"/>
      <c r="E126" s="8"/>
      <c r="F126" s="8"/>
      <c r="G126" s="8"/>
      <c r="H126" s="8"/>
      <c r="I126" s="8"/>
      <c r="J126" s="8"/>
      <c r="K126" s="8"/>
      <c r="L126" s="8"/>
      <c r="M126" s="8"/>
      <c r="N126" s="3"/>
      <c r="O126" s="3"/>
      <c r="P126" s="3"/>
      <c r="Q126" s="3"/>
      <c r="R126" s="3"/>
      <c r="S126" s="3"/>
      <c r="T126" s="3"/>
      <c r="U126" s="3"/>
      <c r="V126" s="3"/>
      <c r="W126" s="3"/>
      <c r="X126" s="3"/>
      <c r="Y126" s="3"/>
      <c r="Z126" s="3"/>
    </row>
    <row r="127" spans="1:26" ht="15.75" customHeight="1">
      <c r="A127" s="8"/>
      <c r="B127" s="8"/>
      <c r="C127" s="8"/>
      <c r="D127" s="8"/>
      <c r="E127" s="8"/>
      <c r="F127" s="8"/>
      <c r="G127" s="8"/>
      <c r="H127" s="8"/>
      <c r="I127" s="8"/>
      <c r="J127" s="8"/>
      <c r="K127" s="8"/>
      <c r="L127" s="8"/>
      <c r="M127" s="8"/>
      <c r="N127" s="3"/>
      <c r="O127" s="3"/>
      <c r="P127" s="3"/>
      <c r="Q127" s="3"/>
      <c r="R127" s="3"/>
      <c r="S127" s="3"/>
      <c r="T127" s="3"/>
      <c r="U127" s="3"/>
      <c r="V127" s="3"/>
      <c r="W127" s="3"/>
      <c r="X127" s="3"/>
      <c r="Y127" s="3"/>
      <c r="Z127" s="3"/>
    </row>
    <row r="128" spans="1:26" ht="15.75" customHeight="1">
      <c r="A128" s="8"/>
      <c r="B128" s="8"/>
      <c r="C128" s="8"/>
      <c r="D128" s="8"/>
      <c r="E128" s="8"/>
      <c r="F128" s="8"/>
      <c r="G128" s="8"/>
      <c r="H128" s="8"/>
      <c r="I128" s="8"/>
      <c r="J128" s="8"/>
      <c r="K128" s="8"/>
      <c r="L128" s="8"/>
      <c r="M128" s="8"/>
      <c r="N128" s="3"/>
      <c r="O128" s="3"/>
      <c r="P128" s="3"/>
      <c r="Q128" s="3"/>
      <c r="R128" s="3"/>
      <c r="S128" s="3"/>
      <c r="T128" s="3"/>
      <c r="U128" s="3"/>
      <c r="V128" s="3"/>
      <c r="W128" s="3"/>
      <c r="X128" s="3"/>
      <c r="Y128" s="3"/>
      <c r="Z128" s="3"/>
    </row>
    <row r="129" spans="1:26" ht="15.75" customHeight="1">
      <c r="A129" s="8"/>
      <c r="B129" s="8"/>
      <c r="C129" s="8"/>
      <c r="D129" s="8"/>
      <c r="E129" s="8"/>
      <c r="F129" s="8"/>
      <c r="G129" s="8"/>
      <c r="H129" s="8"/>
      <c r="I129" s="8"/>
      <c r="J129" s="8"/>
      <c r="K129" s="8"/>
      <c r="L129" s="8"/>
      <c r="M129" s="8"/>
      <c r="N129" s="3"/>
      <c r="O129" s="3"/>
      <c r="P129" s="3"/>
      <c r="Q129" s="3"/>
      <c r="R129" s="3"/>
      <c r="S129" s="3"/>
      <c r="T129" s="3"/>
      <c r="U129" s="3"/>
      <c r="V129" s="3"/>
      <c r="W129" s="3"/>
      <c r="X129" s="3"/>
      <c r="Y129" s="3"/>
      <c r="Z129" s="3"/>
    </row>
    <row r="130" spans="1:26" ht="15.75" customHeight="1">
      <c r="A130" s="8"/>
      <c r="B130" s="8"/>
      <c r="C130" s="8"/>
      <c r="D130" s="8"/>
      <c r="E130" s="8"/>
      <c r="F130" s="8"/>
      <c r="G130" s="8"/>
      <c r="H130" s="8"/>
      <c r="I130" s="8"/>
      <c r="J130" s="8"/>
      <c r="K130" s="8"/>
      <c r="L130" s="8"/>
      <c r="M130" s="8"/>
      <c r="N130" s="3"/>
      <c r="O130" s="3"/>
      <c r="P130" s="3"/>
      <c r="Q130" s="3"/>
      <c r="R130" s="3"/>
      <c r="S130" s="3"/>
      <c r="T130" s="3"/>
      <c r="U130" s="3"/>
      <c r="V130" s="3"/>
      <c r="W130" s="3"/>
      <c r="X130" s="3"/>
      <c r="Y130" s="3"/>
      <c r="Z130" s="3"/>
    </row>
    <row r="131" spans="1:26" ht="15.75" customHeight="1">
      <c r="A131" s="8"/>
      <c r="B131" s="8"/>
      <c r="C131" s="8"/>
      <c r="D131" s="8"/>
      <c r="E131" s="8"/>
      <c r="F131" s="8"/>
      <c r="G131" s="8"/>
      <c r="H131" s="8"/>
      <c r="I131" s="8"/>
      <c r="J131" s="8"/>
      <c r="K131" s="8"/>
      <c r="L131" s="8"/>
      <c r="M131" s="8"/>
      <c r="N131" s="3"/>
      <c r="O131" s="3"/>
      <c r="P131" s="3"/>
      <c r="Q131" s="3"/>
      <c r="R131" s="3"/>
      <c r="S131" s="3"/>
      <c r="T131" s="3"/>
      <c r="U131" s="3"/>
      <c r="V131" s="3"/>
      <c r="W131" s="3"/>
      <c r="X131" s="3"/>
      <c r="Y131" s="3"/>
      <c r="Z131" s="3"/>
    </row>
    <row r="132" spans="1:26" ht="15.75" customHeight="1">
      <c r="A132" s="8"/>
      <c r="B132" s="8"/>
      <c r="C132" s="8"/>
      <c r="D132" s="8"/>
      <c r="E132" s="8"/>
      <c r="F132" s="8"/>
      <c r="G132" s="8"/>
      <c r="H132" s="8"/>
      <c r="I132" s="8"/>
      <c r="J132" s="8"/>
      <c r="K132" s="8"/>
      <c r="L132" s="8"/>
      <c r="M132" s="8"/>
      <c r="N132" s="3"/>
      <c r="O132" s="3"/>
      <c r="P132" s="3"/>
      <c r="Q132" s="3"/>
      <c r="R132" s="3"/>
      <c r="S132" s="3"/>
      <c r="T132" s="3"/>
      <c r="U132" s="3"/>
      <c r="V132" s="3"/>
      <c r="W132" s="3"/>
      <c r="X132" s="3"/>
      <c r="Y132" s="3"/>
      <c r="Z132" s="3"/>
    </row>
    <row r="133" spans="1:26" ht="15.75" customHeight="1">
      <c r="A133" s="8"/>
      <c r="B133" s="8"/>
      <c r="C133" s="8"/>
      <c r="D133" s="8"/>
      <c r="E133" s="8"/>
      <c r="F133" s="8"/>
      <c r="G133" s="8"/>
      <c r="H133" s="8"/>
      <c r="I133" s="8"/>
      <c r="J133" s="8"/>
      <c r="K133" s="8"/>
      <c r="L133" s="8"/>
      <c r="M133" s="8"/>
      <c r="N133" s="3"/>
      <c r="O133" s="3"/>
      <c r="P133" s="3"/>
      <c r="Q133" s="3"/>
      <c r="R133" s="3"/>
      <c r="S133" s="3"/>
      <c r="T133" s="3"/>
      <c r="U133" s="3"/>
      <c r="V133" s="3"/>
      <c r="W133" s="3"/>
      <c r="X133" s="3"/>
      <c r="Y133" s="3"/>
      <c r="Z133" s="3"/>
    </row>
    <row r="134" spans="1:26" ht="15.75" customHeight="1">
      <c r="A134" s="8"/>
      <c r="B134" s="8"/>
      <c r="C134" s="8"/>
      <c r="D134" s="8"/>
      <c r="E134" s="8"/>
      <c r="F134" s="8"/>
      <c r="G134" s="8"/>
      <c r="H134" s="8"/>
      <c r="I134" s="8"/>
      <c r="J134" s="8"/>
      <c r="K134" s="8"/>
      <c r="L134" s="8"/>
      <c r="M134" s="8"/>
      <c r="N134" s="3"/>
      <c r="O134" s="3"/>
      <c r="P134" s="3"/>
      <c r="Q134" s="3"/>
      <c r="R134" s="3"/>
      <c r="S134" s="3"/>
      <c r="T134" s="3"/>
      <c r="U134" s="3"/>
      <c r="V134" s="3"/>
      <c r="W134" s="3"/>
      <c r="X134" s="3"/>
      <c r="Y134" s="3"/>
      <c r="Z134" s="3"/>
    </row>
    <row r="135" spans="1:26" ht="15.75" customHeight="1">
      <c r="A135" s="8"/>
      <c r="B135" s="8"/>
      <c r="C135" s="8"/>
      <c r="D135" s="8"/>
      <c r="E135" s="8"/>
      <c r="F135" s="8"/>
      <c r="G135" s="8"/>
      <c r="H135" s="8"/>
      <c r="I135" s="8"/>
      <c r="J135" s="8"/>
      <c r="K135" s="8"/>
      <c r="L135" s="8"/>
      <c r="M135" s="8"/>
      <c r="N135" s="3"/>
      <c r="O135" s="3"/>
      <c r="P135" s="3"/>
      <c r="Q135" s="3"/>
      <c r="R135" s="3"/>
      <c r="S135" s="3"/>
      <c r="T135" s="3"/>
      <c r="U135" s="3"/>
      <c r="V135" s="3"/>
      <c r="W135" s="3"/>
      <c r="X135" s="3"/>
      <c r="Y135" s="3"/>
      <c r="Z135" s="3"/>
    </row>
    <row r="136" spans="1:26" ht="15.75" customHeight="1">
      <c r="A136" s="8"/>
      <c r="B136" s="8"/>
      <c r="C136" s="8"/>
      <c r="D136" s="8"/>
      <c r="E136" s="8"/>
      <c r="F136" s="8"/>
      <c r="G136" s="8"/>
      <c r="H136" s="8"/>
      <c r="I136" s="8"/>
      <c r="J136" s="8"/>
      <c r="K136" s="8"/>
      <c r="L136" s="8"/>
      <c r="M136" s="8"/>
      <c r="N136" s="3"/>
      <c r="O136" s="3"/>
      <c r="P136" s="3"/>
      <c r="Q136" s="3"/>
      <c r="R136" s="3"/>
      <c r="S136" s="3"/>
      <c r="T136" s="3"/>
      <c r="U136" s="3"/>
      <c r="V136" s="3"/>
      <c r="W136" s="3"/>
      <c r="X136" s="3"/>
      <c r="Y136" s="3"/>
      <c r="Z136" s="3"/>
    </row>
    <row r="137" spans="1:26" ht="15.75" customHeight="1">
      <c r="A137" s="8"/>
      <c r="B137" s="8"/>
      <c r="C137" s="8"/>
      <c r="D137" s="8"/>
      <c r="E137" s="8"/>
      <c r="F137" s="8"/>
      <c r="G137" s="8"/>
      <c r="H137" s="8"/>
      <c r="I137" s="8"/>
      <c r="J137" s="8"/>
      <c r="K137" s="8"/>
      <c r="L137" s="8"/>
      <c r="M137" s="8"/>
      <c r="N137" s="3"/>
      <c r="O137" s="3"/>
      <c r="P137" s="3"/>
      <c r="Q137" s="3"/>
      <c r="R137" s="3"/>
      <c r="S137" s="3"/>
      <c r="T137" s="3"/>
      <c r="U137" s="3"/>
      <c r="V137" s="3"/>
      <c r="W137" s="3"/>
      <c r="X137" s="3"/>
      <c r="Y137" s="3"/>
      <c r="Z137" s="3"/>
    </row>
    <row r="138" spans="1:26" ht="15.75" customHeight="1">
      <c r="A138" s="8"/>
      <c r="B138" s="8"/>
      <c r="C138" s="8"/>
      <c r="D138" s="8"/>
      <c r="E138" s="8"/>
      <c r="F138" s="8"/>
      <c r="G138" s="8"/>
      <c r="H138" s="8"/>
      <c r="I138" s="8"/>
      <c r="J138" s="8"/>
      <c r="K138" s="8"/>
      <c r="L138" s="8"/>
      <c r="M138" s="8"/>
      <c r="N138" s="3"/>
      <c r="O138" s="3"/>
      <c r="P138" s="3"/>
      <c r="Q138" s="3"/>
      <c r="R138" s="3"/>
      <c r="S138" s="3"/>
      <c r="T138" s="3"/>
      <c r="U138" s="3"/>
      <c r="V138" s="3"/>
      <c r="W138" s="3"/>
      <c r="X138" s="3"/>
      <c r="Y138" s="3"/>
      <c r="Z138" s="3"/>
    </row>
    <row r="139" spans="1:26" ht="15.75" customHeight="1">
      <c r="A139" s="8"/>
      <c r="B139" s="8"/>
      <c r="C139" s="8"/>
      <c r="D139" s="8"/>
      <c r="E139" s="8"/>
      <c r="F139" s="8"/>
      <c r="G139" s="8"/>
      <c r="H139" s="3"/>
      <c r="I139" s="8"/>
      <c r="J139" s="8"/>
      <c r="K139" s="8"/>
      <c r="L139" s="8"/>
      <c r="M139" s="8"/>
      <c r="N139" s="3"/>
      <c r="O139" s="3"/>
      <c r="P139" s="3"/>
      <c r="Q139" s="3"/>
      <c r="R139" s="3"/>
      <c r="S139" s="3"/>
      <c r="T139" s="3"/>
      <c r="U139" s="3"/>
      <c r="V139" s="3"/>
      <c r="W139" s="3"/>
      <c r="X139" s="3"/>
      <c r="Y139" s="3"/>
      <c r="Z139" s="3"/>
    </row>
    <row r="140" spans="1:26" ht="15.75" customHeight="1">
      <c r="A140" s="8"/>
      <c r="B140" s="8"/>
      <c r="C140" s="8"/>
      <c r="D140" s="8"/>
      <c r="E140" s="8"/>
      <c r="F140" s="8"/>
      <c r="G140" s="8"/>
      <c r="H140" s="3"/>
      <c r="I140" s="8"/>
      <c r="J140" s="8"/>
      <c r="K140" s="8"/>
      <c r="L140" s="8"/>
      <c r="M140" s="8"/>
      <c r="N140" s="3"/>
      <c r="O140" s="3"/>
      <c r="P140" s="3"/>
      <c r="Q140" s="3"/>
      <c r="R140" s="3"/>
      <c r="S140" s="3"/>
      <c r="T140" s="3"/>
      <c r="U140" s="3"/>
      <c r="V140" s="3"/>
      <c r="W140" s="3"/>
      <c r="X140" s="3"/>
      <c r="Y140" s="3"/>
      <c r="Z140" s="3"/>
    </row>
    <row r="141" spans="1:26" ht="15.75" customHeight="1">
      <c r="A141" s="8"/>
      <c r="B141" s="8"/>
      <c r="C141" s="8"/>
      <c r="D141" s="8"/>
      <c r="E141" s="8"/>
      <c r="F141" s="8"/>
      <c r="G141" s="8"/>
      <c r="H141" s="3"/>
      <c r="I141" s="8"/>
      <c r="J141" s="8"/>
      <c r="K141" s="8"/>
      <c r="L141" s="8"/>
      <c r="M141" s="8"/>
      <c r="N141" s="3"/>
      <c r="O141" s="3"/>
      <c r="P141" s="3"/>
      <c r="Q141" s="3"/>
      <c r="R141" s="3"/>
      <c r="S141" s="3"/>
      <c r="T141" s="3"/>
      <c r="U141" s="3"/>
      <c r="V141" s="3"/>
      <c r="W141" s="3"/>
      <c r="X141" s="3"/>
      <c r="Y141" s="3"/>
      <c r="Z141" s="3"/>
    </row>
    <row r="142" spans="1:26" ht="15.75" customHeight="1">
      <c r="A142" s="8"/>
      <c r="B142" s="8"/>
      <c r="C142" s="8"/>
      <c r="D142" s="8"/>
      <c r="E142" s="8"/>
      <c r="F142" s="8"/>
      <c r="G142" s="8"/>
      <c r="H142" s="3"/>
      <c r="I142" s="8"/>
      <c r="J142" s="8"/>
      <c r="K142" s="8"/>
      <c r="L142" s="8"/>
      <c r="M142" s="8"/>
      <c r="N142" s="3"/>
      <c r="O142" s="3"/>
      <c r="P142" s="3"/>
      <c r="Q142" s="3"/>
      <c r="R142" s="3"/>
      <c r="S142" s="3"/>
      <c r="T142" s="3"/>
      <c r="U142" s="3"/>
      <c r="V142" s="3"/>
      <c r="W142" s="3"/>
      <c r="X142" s="3"/>
      <c r="Y142" s="3"/>
      <c r="Z142" s="3"/>
    </row>
    <row r="143" spans="1:26" ht="15.75" customHeight="1">
      <c r="A143" s="8"/>
      <c r="B143" s="8"/>
      <c r="C143" s="8"/>
      <c r="D143" s="8"/>
      <c r="E143" s="8"/>
      <c r="F143" s="8"/>
      <c r="G143" s="8"/>
      <c r="H143" s="3"/>
      <c r="I143" s="8"/>
      <c r="J143" s="8"/>
      <c r="K143" s="8"/>
      <c r="L143" s="8"/>
      <c r="M143" s="8"/>
      <c r="N143" s="3"/>
      <c r="O143" s="3"/>
      <c r="P143" s="3"/>
      <c r="Q143" s="3"/>
      <c r="R143" s="3"/>
      <c r="S143" s="3"/>
      <c r="T143" s="3"/>
      <c r="U143" s="3"/>
      <c r="V143" s="3"/>
      <c r="W143" s="3"/>
      <c r="X143" s="3"/>
      <c r="Y143" s="3"/>
      <c r="Z143" s="3"/>
    </row>
    <row r="144" spans="1:26" ht="15.75" customHeight="1">
      <c r="A144" s="8"/>
      <c r="B144" s="8"/>
      <c r="C144" s="8"/>
      <c r="D144" s="8"/>
      <c r="E144" s="8"/>
      <c r="F144" s="8"/>
      <c r="G144" s="8"/>
      <c r="H144" s="3"/>
      <c r="I144" s="8"/>
      <c r="J144" s="8"/>
      <c r="K144" s="8"/>
      <c r="L144" s="8"/>
      <c r="M144" s="8"/>
      <c r="N144" s="3"/>
      <c r="O144" s="3"/>
      <c r="P144" s="3"/>
      <c r="Q144" s="3"/>
      <c r="R144" s="3"/>
      <c r="S144" s="3"/>
      <c r="T144" s="3"/>
      <c r="U144" s="3"/>
      <c r="V144" s="3"/>
      <c r="W144" s="3"/>
      <c r="X144" s="3"/>
      <c r="Y144" s="3"/>
      <c r="Z144" s="3"/>
    </row>
    <row r="145" spans="1:26" ht="15.75" customHeight="1">
      <c r="A145" s="8"/>
      <c r="B145" s="8"/>
      <c r="C145" s="8"/>
      <c r="D145" s="8"/>
      <c r="E145" s="8"/>
      <c r="F145" s="8"/>
      <c r="G145" s="8"/>
      <c r="H145" s="3"/>
      <c r="I145" s="8"/>
      <c r="J145" s="8"/>
      <c r="K145" s="8"/>
      <c r="L145" s="8"/>
      <c r="M145" s="8"/>
      <c r="N145" s="3"/>
      <c r="O145" s="3"/>
      <c r="P145" s="3"/>
      <c r="Q145" s="3"/>
      <c r="R145" s="3"/>
      <c r="S145" s="3"/>
      <c r="T145" s="3"/>
      <c r="U145" s="3"/>
      <c r="V145" s="3"/>
      <c r="W145" s="3"/>
      <c r="X145" s="3"/>
      <c r="Y145" s="3"/>
      <c r="Z145" s="3"/>
    </row>
    <row r="146" spans="1:26" ht="15.75" customHeight="1">
      <c r="A146" s="8"/>
      <c r="B146" s="8"/>
      <c r="C146" s="8"/>
      <c r="D146" s="8"/>
      <c r="E146" s="8"/>
      <c r="F146" s="8"/>
      <c r="G146" s="8"/>
      <c r="H146" s="3"/>
      <c r="I146" s="8"/>
      <c r="J146" s="8"/>
      <c r="K146" s="8"/>
      <c r="L146" s="8"/>
      <c r="M146" s="8"/>
      <c r="N146" s="3"/>
      <c r="O146" s="3"/>
      <c r="P146" s="3"/>
      <c r="Q146" s="3"/>
      <c r="R146" s="3"/>
      <c r="S146" s="3"/>
      <c r="T146" s="3"/>
      <c r="U146" s="3"/>
      <c r="V146" s="3"/>
      <c r="W146" s="3"/>
      <c r="X146" s="3"/>
      <c r="Y146" s="3"/>
      <c r="Z146" s="3"/>
    </row>
    <row r="147" spans="1:26" ht="15.75" customHeight="1">
      <c r="A147" s="8"/>
      <c r="B147" s="8"/>
      <c r="C147" s="8"/>
      <c r="D147" s="8"/>
      <c r="E147" s="8"/>
      <c r="F147" s="8"/>
      <c r="G147" s="8"/>
      <c r="H147" s="3"/>
      <c r="I147" s="8"/>
      <c r="J147" s="8"/>
      <c r="K147" s="8"/>
      <c r="L147" s="8"/>
      <c r="M147" s="8"/>
      <c r="N147" s="3"/>
      <c r="O147" s="3"/>
      <c r="P147" s="3"/>
      <c r="Q147" s="3"/>
      <c r="R147" s="3"/>
      <c r="S147" s="3"/>
      <c r="T147" s="3"/>
      <c r="U147" s="3"/>
      <c r="V147" s="3"/>
      <c r="W147" s="3"/>
      <c r="X147" s="3"/>
      <c r="Y147" s="3"/>
      <c r="Z147" s="3"/>
    </row>
    <row r="148" spans="1:26" ht="15.75" customHeight="1">
      <c r="A148" s="8"/>
      <c r="B148" s="8"/>
      <c r="C148" s="8"/>
      <c r="D148" s="8"/>
      <c r="E148" s="8"/>
      <c r="F148" s="8"/>
      <c r="G148" s="8"/>
      <c r="H148" s="3"/>
      <c r="I148" s="8"/>
      <c r="J148" s="8"/>
      <c r="K148" s="8"/>
      <c r="L148" s="8"/>
      <c r="M148" s="8"/>
      <c r="N148" s="3"/>
      <c r="O148" s="3"/>
      <c r="P148" s="3"/>
      <c r="Q148" s="3"/>
      <c r="R148" s="3"/>
      <c r="S148" s="3"/>
      <c r="T148" s="3"/>
      <c r="U148" s="3"/>
      <c r="V148" s="3"/>
      <c r="W148" s="3"/>
      <c r="X148" s="3"/>
      <c r="Y148" s="3"/>
      <c r="Z148" s="3"/>
    </row>
    <row r="149" spans="1:26" ht="15.75" customHeight="1">
      <c r="A149" s="8"/>
      <c r="B149" s="8"/>
      <c r="C149" s="8"/>
      <c r="D149" s="8"/>
      <c r="E149" s="8"/>
      <c r="F149" s="8"/>
      <c r="G149" s="8"/>
      <c r="H149" s="3"/>
      <c r="I149" s="8"/>
      <c r="J149" s="8"/>
      <c r="K149" s="8"/>
      <c r="L149" s="8"/>
      <c r="M149" s="8"/>
      <c r="N149" s="3"/>
      <c r="O149" s="3"/>
      <c r="P149" s="3"/>
      <c r="Q149" s="3"/>
      <c r="R149" s="3"/>
      <c r="S149" s="3"/>
      <c r="T149" s="3"/>
      <c r="U149" s="3"/>
      <c r="V149" s="3"/>
      <c r="W149" s="3"/>
      <c r="X149" s="3"/>
      <c r="Y149" s="3"/>
      <c r="Z149" s="3"/>
    </row>
    <row r="150" spans="1:26" ht="15.75" customHeight="1">
      <c r="A150" s="8"/>
      <c r="B150" s="8"/>
      <c r="C150" s="8"/>
      <c r="D150" s="8"/>
      <c r="E150" s="8"/>
      <c r="F150" s="8"/>
      <c r="G150" s="8"/>
      <c r="H150" s="3"/>
      <c r="I150" s="8"/>
      <c r="J150" s="8"/>
      <c r="K150" s="8"/>
      <c r="L150" s="8"/>
      <c r="M150" s="8"/>
      <c r="N150" s="3"/>
      <c r="O150" s="3"/>
      <c r="P150" s="3"/>
      <c r="Q150" s="3"/>
      <c r="R150" s="3"/>
      <c r="S150" s="3"/>
      <c r="T150" s="3"/>
      <c r="U150" s="3"/>
      <c r="V150" s="3"/>
      <c r="W150" s="3"/>
      <c r="X150" s="3"/>
      <c r="Y150" s="3"/>
      <c r="Z150" s="3"/>
    </row>
    <row r="151" spans="1:26" ht="15.75" customHeight="1">
      <c r="A151" s="8"/>
      <c r="B151" s="8"/>
      <c r="C151" s="8"/>
      <c r="D151" s="8"/>
      <c r="E151" s="8"/>
      <c r="F151" s="8"/>
      <c r="G151" s="8"/>
      <c r="H151" s="3"/>
      <c r="I151" s="8"/>
      <c r="J151" s="8"/>
      <c r="K151" s="8"/>
      <c r="L151" s="8"/>
      <c r="M151" s="8"/>
      <c r="N151" s="3"/>
      <c r="O151" s="3"/>
      <c r="P151" s="3"/>
      <c r="Q151" s="3"/>
      <c r="R151" s="3"/>
      <c r="S151" s="3"/>
      <c r="T151" s="3"/>
      <c r="U151" s="3"/>
      <c r="V151" s="3"/>
      <c r="W151" s="3"/>
      <c r="X151" s="3"/>
      <c r="Y151" s="3"/>
      <c r="Z151" s="3"/>
    </row>
    <row r="152" spans="1:26" ht="15.75" customHeight="1">
      <c r="A152" s="8"/>
      <c r="B152" s="8"/>
      <c r="C152" s="8"/>
      <c r="D152" s="8"/>
      <c r="E152" s="8"/>
      <c r="F152" s="8"/>
      <c r="G152" s="8"/>
      <c r="H152" s="3"/>
      <c r="I152" s="8"/>
      <c r="J152" s="8"/>
      <c r="K152" s="8"/>
      <c r="L152" s="8"/>
      <c r="M152" s="8"/>
      <c r="N152" s="3"/>
      <c r="O152" s="3"/>
      <c r="P152" s="3"/>
      <c r="Q152" s="3"/>
      <c r="R152" s="3"/>
      <c r="S152" s="3"/>
      <c r="T152" s="3"/>
      <c r="U152" s="3"/>
      <c r="V152" s="3"/>
      <c r="W152" s="3"/>
      <c r="X152" s="3"/>
      <c r="Y152" s="3"/>
      <c r="Z152" s="3"/>
    </row>
    <row r="153" spans="1:26" ht="15.75" customHeight="1">
      <c r="A153" s="8"/>
      <c r="B153" s="8"/>
      <c r="C153" s="8"/>
      <c r="D153" s="8"/>
      <c r="E153" s="8"/>
      <c r="F153" s="8"/>
      <c r="G153" s="8"/>
      <c r="H153" s="3"/>
      <c r="I153" s="8"/>
      <c r="J153" s="8"/>
      <c r="K153" s="8"/>
      <c r="L153" s="8"/>
      <c r="M153" s="8"/>
      <c r="N153" s="3"/>
      <c r="O153" s="3"/>
      <c r="P153" s="3"/>
      <c r="Q153" s="3"/>
      <c r="R153" s="3"/>
      <c r="S153" s="3"/>
      <c r="T153" s="3"/>
      <c r="U153" s="3"/>
      <c r="V153" s="3"/>
      <c r="W153" s="3"/>
      <c r="X153" s="3"/>
      <c r="Y153" s="3"/>
      <c r="Z153" s="3"/>
    </row>
    <row r="154" spans="1:26" ht="15.75" customHeight="1">
      <c r="A154" s="8"/>
      <c r="B154" s="8"/>
      <c r="C154" s="8"/>
      <c r="D154" s="8"/>
      <c r="E154" s="8"/>
      <c r="F154" s="8"/>
      <c r="G154" s="8"/>
      <c r="H154" s="3"/>
      <c r="I154" s="8"/>
      <c r="J154" s="8"/>
      <c r="K154" s="8"/>
      <c r="L154" s="8"/>
      <c r="M154" s="8"/>
      <c r="N154" s="3"/>
      <c r="O154" s="3"/>
      <c r="P154" s="3"/>
      <c r="Q154" s="3"/>
      <c r="R154" s="3"/>
      <c r="S154" s="3"/>
      <c r="T154" s="3"/>
      <c r="U154" s="3"/>
      <c r="V154" s="3"/>
      <c r="W154" s="3"/>
      <c r="X154" s="3"/>
      <c r="Y154" s="3"/>
      <c r="Z154" s="3"/>
    </row>
    <row r="155" spans="1:26" ht="15.75" customHeight="1">
      <c r="A155" s="8"/>
      <c r="B155" s="8"/>
      <c r="C155" s="8"/>
      <c r="D155" s="8"/>
      <c r="E155" s="8"/>
      <c r="F155" s="8"/>
      <c r="G155" s="8"/>
      <c r="H155" s="3"/>
      <c r="I155" s="8"/>
      <c r="J155" s="8"/>
      <c r="K155" s="8"/>
      <c r="L155" s="8"/>
      <c r="M155" s="8"/>
      <c r="N155" s="3"/>
      <c r="O155" s="3"/>
      <c r="P155" s="3"/>
      <c r="Q155" s="3"/>
      <c r="R155" s="3"/>
      <c r="S155" s="3"/>
      <c r="T155" s="3"/>
      <c r="U155" s="3"/>
      <c r="V155" s="3"/>
      <c r="W155" s="3"/>
      <c r="X155" s="3"/>
      <c r="Y155" s="3"/>
      <c r="Z155" s="3"/>
    </row>
    <row r="156" spans="1:26" ht="15.75" customHeight="1">
      <c r="A156" s="8"/>
      <c r="B156" s="8"/>
      <c r="C156" s="8"/>
      <c r="D156" s="8"/>
      <c r="E156" s="8"/>
      <c r="F156" s="8"/>
      <c r="G156" s="8"/>
      <c r="H156" s="3"/>
      <c r="I156" s="8"/>
      <c r="J156" s="8"/>
      <c r="K156" s="8"/>
      <c r="L156" s="8"/>
      <c r="M156" s="8"/>
      <c r="N156" s="3"/>
      <c r="O156" s="3"/>
      <c r="P156" s="3"/>
      <c r="Q156" s="3"/>
      <c r="R156" s="3"/>
      <c r="S156" s="3"/>
      <c r="T156" s="3"/>
      <c r="U156" s="3"/>
      <c r="V156" s="3"/>
      <c r="W156" s="3"/>
      <c r="X156" s="3"/>
      <c r="Y156" s="3"/>
      <c r="Z156" s="3"/>
    </row>
    <row r="157" spans="1:26" ht="15.75" customHeight="1">
      <c r="A157" s="8"/>
      <c r="B157" s="8"/>
      <c r="C157" s="8"/>
      <c r="D157" s="8"/>
      <c r="E157" s="8"/>
      <c r="F157" s="8"/>
      <c r="G157" s="8"/>
      <c r="H157" s="3"/>
      <c r="I157" s="8"/>
      <c r="J157" s="8"/>
      <c r="K157" s="8"/>
      <c r="L157" s="8"/>
      <c r="M157" s="8"/>
      <c r="N157" s="3"/>
      <c r="O157" s="3"/>
      <c r="P157" s="3"/>
      <c r="Q157" s="3"/>
      <c r="R157" s="3"/>
      <c r="S157" s="3"/>
      <c r="T157" s="3"/>
      <c r="U157" s="3"/>
      <c r="V157" s="3"/>
      <c r="W157" s="3"/>
      <c r="X157" s="3"/>
      <c r="Y157" s="3"/>
      <c r="Z157" s="3"/>
    </row>
    <row r="158" spans="1:26" ht="15.75" customHeight="1">
      <c r="A158" s="8"/>
      <c r="B158" s="8"/>
      <c r="C158" s="8"/>
      <c r="D158" s="8"/>
      <c r="E158" s="8"/>
      <c r="F158" s="8"/>
      <c r="G158" s="8"/>
      <c r="H158" s="3"/>
      <c r="I158" s="8"/>
      <c r="J158" s="8"/>
      <c r="K158" s="8"/>
      <c r="L158" s="8"/>
      <c r="M158" s="8"/>
      <c r="N158" s="3"/>
      <c r="O158" s="3"/>
      <c r="P158" s="3"/>
      <c r="Q158" s="3"/>
      <c r="R158" s="3"/>
      <c r="S158" s="3"/>
      <c r="T158" s="3"/>
      <c r="U158" s="3"/>
      <c r="V158" s="3"/>
      <c r="W158" s="3"/>
      <c r="X158" s="3"/>
      <c r="Y158" s="3"/>
      <c r="Z158" s="3"/>
    </row>
    <row r="159" spans="1:26" ht="15.75" customHeight="1">
      <c r="A159" s="8"/>
      <c r="B159" s="8"/>
      <c r="C159" s="8"/>
      <c r="D159" s="8"/>
      <c r="E159" s="8"/>
      <c r="F159" s="8"/>
      <c r="G159" s="8"/>
      <c r="H159" s="3"/>
      <c r="I159" s="8"/>
      <c r="J159" s="8"/>
      <c r="K159" s="8"/>
      <c r="L159" s="8"/>
      <c r="M159" s="8"/>
      <c r="N159" s="3"/>
      <c r="O159" s="3"/>
      <c r="P159" s="3"/>
      <c r="Q159" s="3"/>
      <c r="R159" s="3"/>
      <c r="S159" s="3"/>
      <c r="T159" s="3"/>
      <c r="U159" s="3"/>
      <c r="V159" s="3"/>
      <c r="W159" s="3"/>
      <c r="X159" s="3"/>
      <c r="Y159" s="3"/>
      <c r="Z159" s="3"/>
    </row>
    <row r="160" spans="1:26" ht="15.75" customHeight="1">
      <c r="A160" s="8"/>
      <c r="B160" s="8"/>
      <c r="C160" s="8"/>
      <c r="D160" s="8"/>
      <c r="E160" s="8"/>
      <c r="F160" s="8"/>
      <c r="G160" s="8"/>
      <c r="H160" s="3"/>
      <c r="I160" s="8"/>
      <c r="J160" s="8"/>
      <c r="K160" s="8"/>
      <c r="L160" s="8"/>
      <c r="M160" s="8"/>
      <c r="N160" s="3"/>
      <c r="O160" s="3"/>
      <c r="P160" s="3"/>
      <c r="Q160" s="3"/>
      <c r="R160" s="3"/>
      <c r="S160" s="3"/>
      <c r="T160" s="3"/>
      <c r="U160" s="3"/>
      <c r="V160" s="3"/>
      <c r="W160" s="3"/>
      <c r="X160" s="3"/>
      <c r="Y160" s="3"/>
      <c r="Z160" s="3"/>
    </row>
    <row r="161" spans="1:26" ht="15.75" customHeight="1">
      <c r="A161" s="8"/>
      <c r="B161" s="8"/>
      <c r="C161" s="8"/>
      <c r="D161" s="8"/>
      <c r="E161" s="8"/>
      <c r="F161" s="8"/>
      <c r="G161" s="8"/>
      <c r="H161" s="3"/>
      <c r="I161" s="8"/>
      <c r="J161" s="8"/>
      <c r="K161" s="8"/>
      <c r="L161" s="8"/>
      <c r="M161" s="8"/>
      <c r="N161" s="3"/>
      <c r="O161" s="3"/>
      <c r="P161" s="3"/>
      <c r="Q161" s="3"/>
      <c r="R161" s="3"/>
      <c r="S161" s="3"/>
      <c r="T161" s="3"/>
      <c r="U161" s="3"/>
      <c r="V161" s="3"/>
      <c r="W161" s="3"/>
      <c r="X161" s="3"/>
      <c r="Y161" s="3"/>
      <c r="Z161" s="3"/>
    </row>
    <row r="162" spans="1:26" ht="15.75" customHeight="1">
      <c r="A162" s="8"/>
      <c r="B162" s="8"/>
      <c r="C162" s="8"/>
      <c r="D162" s="8"/>
      <c r="E162" s="8"/>
      <c r="F162" s="8"/>
      <c r="G162" s="8"/>
      <c r="H162" s="3"/>
      <c r="I162" s="8"/>
      <c r="J162" s="8"/>
      <c r="K162" s="8"/>
      <c r="L162" s="8"/>
      <c r="M162" s="8"/>
      <c r="N162" s="3"/>
      <c r="O162" s="3"/>
      <c r="P162" s="3"/>
      <c r="Q162" s="3"/>
      <c r="R162" s="3"/>
      <c r="S162" s="3"/>
      <c r="T162" s="3"/>
      <c r="U162" s="3"/>
      <c r="V162" s="3"/>
      <c r="W162" s="3"/>
      <c r="X162" s="3"/>
      <c r="Y162" s="3"/>
      <c r="Z162" s="3"/>
    </row>
    <row r="163" spans="1:26" ht="15.75" customHeight="1">
      <c r="A163" s="8"/>
      <c r="B163" s="8"/>
      <c r="C163" s="8"/>
      <c r="D163" s="8"/>
      <c r="E163" s="8"/>
      <c r="F163" s="8"/>
      <c r="G163" s="8"/>
      <c r="H163" s="3"/>
      <c r="I163" s="8"/>
      <c r="J163" s="8"/>
      <c r="K163" s="8"/>
      <c r="L163" s="8"/>
      <c r="M163" s="8"/>
      <c r="N163" s="3"/>
      <c r="O163" s="3"/>
      <c r="P163" s="3"/>
      <c r="Q163" s="3"/>
      <c r="R163" s="3"/>
      <c r="S163" s="3"/>
      <c r="T163" s="3"/>
      <c r="U163" s="3"/>
      <c r="V163" s="3"/>
      <c r="W163" s="3"/>
      <c r="X163" s="3"/>
      <c r="Y163" s="3"/>
      <c r="Z163" s="3"/>
    </row>
    <row r="164" spans="1:26" ht="15.75" customHeight="1">
      <c r="A164" s="8"/>
      <c r="B164" s="8"/>
      <c r="C164" s="8"/>
      <c r="D164" s="8"/>
      <c r="E164" s="8"/>
      <c r="F164" s="8"/>
      <c r="G164" s="8"/>
      <c r="H164" s="3"/>
      <c r="I164" s="8"/>
      <c r="J164" s="8"/>
      <c r="K164" s="8"/>
      <c r="L164" s="8"/>
      <c r="M164" s="8"/>
      <c r="N164" s="3"/>
      <c r="O164" s="3"/>
      <c r="P164" s="3"/>
      <c r="Q164" s="3"/>
      <c r="R164" s="3"/>
      <c r="S164" s="3"/>
      <c r="T164" s="3"/>
      <c r="U164" s="3"/>
      <c r="V164" s="3"/>
      <c r="W164" s="3"/>
      <c r="X164" s="3"/>
      <c r="Y164" s="3"/>
      <c r="Z164" s="3"/>
    </row>
    <row r="165" spans="1:26" ht="15.75" customHeight="1">
      <c r="A165" s="8"/>
      <c r="B165" s="8"/>
      <c r="C165" s="8"/>
      <c r="D165" s="8"/>
      <c r="E165" s="8"/>
      <c r="F165" s="8"/>
      <c r="G165" s="8"/>
      <c r="H165" s="3"/>
      <c r="I165" s="8"/>
      <c r="J165" s="8"/>
      <c r="K165" s="8"/>
      <c r="L165" s="8"/>
      <c r="M165" s="8"/>
      <c r="N165" s="3"/>
      <c r="O165" s="3"/>
      <c r="P165" s="3"/>
      <c r="Q165" s="3"/>
      <c r="R165" s="3"/>
      <c r="S165" s="3"/>
      <c r="T165" s="3"/>
      <c r="U165" s="3"/>
      <c r="V165" s="3"/>
      <c r="W165" s="3"/>
      <c r="X165" s="3"/>
      <c r="Y165" s="3"/>
      <c r="Z165" s="3"/>
    </row>
    <row r="166" spans="1:26" ht="15.75" customHeight="1">
      <c r="A166" s="8"/>
      <c r="B166" s="8"/>
      <c r="C166" s="8"/>
      <c r="D166" s="8"/>
      <c r="E166" s="8"/>
      <c r="F166" s="8"/>
      <c r="G166" s="8"/>
      <c r="H166" s="3"/>
      <c r="I166" s="8"/>
      <c r="J166" s="8"/>
      <c r="K166" s="8"/>
      <c r="L166" s="8"/>
      <c r="M166" s="8"/>
      <c r="N166" s="3"/>
      <c r="O166" s="3"/>
      <c r="P166" s="3"/>
      <c r="Q166" s="3"/>
      <c r="R166" s="3"/>
      <c r="S166" s="3"/>
      <c r="T166" s="3"/>
      <c r="U166" s="3"/>
      <c r="V166" s="3"/>
      <c r="W166" s="3"/>
      <c r="X166" s="3"/>
      <c r="Y166" s="3"/>
      <c r="Z166" s="3"/>
    </row>
    <row r="167" spans="1:26" ht="15.75" customHeight="1">
      <c r="A167" s="8"/>
      <c r="B167" s="8"/>
      <c r="C167" s="8"/>
      <c r="D167" s="8"/>
      <c r="E167" s="8"/>
      <c r="F167" s="8"/>
      <c r="G167" s="8"/>
      <c r="H167" s="3"/>
      <c r="I167" s="8"/>
      <c r="J167" s="8"/>
      <c r="K167" s="8"/>
      <c r="L167" s="8"/>
      <c r="M167" s="8"/>
      <c r="N167" s="3"/>
      <c r="O167" s="3"/>
      <c r="P167" s="3"/>
      <c r="Q167" s="3"/>
      <c r="R167" s="3"/>
      <c r="S167" s="3"/>
      <c r="T167" s="3"/>
      <c r="U167" s="3"/>
      <c r="V167" s="3"/>
      <c r="W167" s="3"/>
      <c r="X167" s="3"/>
      <c r="Y167" s="3"/>
      <c r="Z167" s="3"/>
    </row>
    <row r="168" spans="1:26" ht="15.75" customHeight="1">
      <c r="A168" s="8"/>
      <c r="B168" s="8"/>
      <c r="C168" s="8"/>
      <c r="D168" s="8"/>
      <c r="E168" s="8"/>
      <c r="F168" s="8"/>
      <c r="G168" s="8"/>
      <c r="H168" s="3"/>
      <c r="I168" s="8"/>
      <c r="J168" s="8"/>
      <c r="K168" s="8"/>
      <c r="L168" s="8"/>
      <c r="M168" s="8"/>
      <c r="N168" s="3"/>
      <c r="O168" s="3"/>
      <c r="P168" s="3"/>
      <c r="Q168" s="3"/>
      <c r="R168" s="3"/>
      <c r="S168" s="3"/>
      <c r="T168" s="3"/>
      <c r="U168" s="3"/>
      <c r="V168" s="3"/>
      <c r="W168" s="3"/>
      <c r="X168" s="3"/>
      <c r="Y168" s="3"/>
      <c r="Z168" s="3"/>
    </row>
    <row r="169" spans="1:26" ht="15.75" customHeight="1">
      <c r="A169" s="8"/>
      <c r="B169" s="8"/>
      <c r="C169" s="8"/>
      <c r="D169" s="8"/>
      <c r="E169" s="8"/>
      <c r="F169" s="8"/>
      <c r="G169" s="8"/>
      <c r="H169" s="3"/>
      <c r="I169" s="8"/>
      <c r="J169" s="8"/>
      <c r="K169" s="8"/>
      <c r="L169" s="8"/>
      <c r="M169" s="8"/>
      <c r="N169" s="3"/>
      <c r="O169" s="3"/>
      <c r="P169" s="3"/>
      <c r="Q169" s="3"/>
      <c r="R169" s="3"/>
      <c r="S169" s="3"/>
      <c r="T169" s="3"/>
      <c r="U169" s="3"/>
      <c r="V169" s="3"/>
      <c r="W169" s="3"/>
      <c r="X169" s="3"/>
      <c r="Y169" s="3"/>
      <c r="Z169" s="3"/>
    </row>
    <row r="170" spans="1:26" ht="15.75" customHeight="1">
      <c r="A170" s="8"/>
      <c r="B170" s="8"/>
      <c r="C170" s="8"/>
      <c r="D170" s="8"/>
      <c r="E170" s="8"/>
      <c r="F170" s="8"/>
      <c r="G170" s="8"/>
      <c r="H170" s="3"/>
      <c r="I170" s="8"/>
      <c r="J170" s="8"/>
      <c r="K170" s="8"/>
      <c r="L170" s="8"/>
      <c r="M170" s="8"/>
      <c r="N170" s="3"/>
      <c r="O170" s="3"/>
      <c r="P170" s="3"/>
      <c r="Q170" s="3"/>
      <c r="R170" s="3"/>
      <c r="S170" s="3"/>
      <c r="T170" s="3"/>
      <c r="U170" s="3"/>
      <c r="V170" s="3"/>
      <c r="W170" s="3"/>
      <c r="X170" s="3"/>
      <c r="Y170" s="3"/>
      <c r="Z170" s="3"/>
    </row>
    <row r="171" spans="1:26" ht="15.75" customHeight="1">
      <c r="A171" s="8"/>
      <c r="B171" s="8"/>
      <c r="C171" s="8"/>
      <c r="D171" s="8"/>
      <c r="E171" s="8"/>
      <c r="F171" s="8"/>
      <c r="G171" s="8"/>
      <c r="H171" s="3"/>
      <c r="I171" s="8"/>
      <c r="J171" s="8"/>
      <c r="K171" s="8"/>
      <c r="L171" s="8"/>
      <c r="M171" s="8"/>
      <c r="N171" s="3"/>
      <c r="O171" s="3"/>
      <c r="P171" s="3"/>
      <c r="Q171" s="3"/>
      <c r="R171" s="3"/>
      <c r="S171" s="3"/>
      <c r="T171" s="3"/>
      <c r="U171" s="3"/>
      <c r="V171" s="3"/>
      <c r="W171" s="3"/>
      <c r="X171" s="3"/>
      <c r="Y171" s="3"/>
      <c r="Z171" s="3"/>
    </row>
    <row r="172" spans="1:26" ht="15.75" customHeight="1">
      <c r="A172" s="8"/>
      <c r="B172" s="8"/>
      <c r="C172" s="8"/>
      <c r="D172" s="8"/>
      <c r="E172" s="8"/>
      <c r="F172" s="8"/>
      <c r="G172" s="8"/>
      <c r="H172" s="3"/>
      <c r="I172" s="8"/>
      <c r="J172" s="8"/>
      <c r="K172" s="8"/>
      <c r="L172" s="8"/>
      <c r="M172" s="8"/>
      <c r="N172" s="3"/>
      <c r="O172" s="3"/>
      <c r="P172" s="3"/>
      <c r="Q172" s="3"/>
      <c r="R172" s="3"/>
      <c r="S172" s="3"/>
      <c r="T172" s="3"/>
      <c r="U172" s="3"/>
      <c r="V172" s="3"/>
      <c r="W172" s="3"/>
      <c r="X172" s="3"/>
      <c r="Y172" s="3"/>
      <c r="Z172" s="3"/>
    </row>
    <row r="173" spans="1:26" ht="15.75" customHeight="1">
      <c r="A173" s="8"/>
      <c r="B173" s="8"/>
      <c r="C173" s="8"/>
      <c r="D173" s="8"/>
      <c r="E173" s="8"/>
      <c r="F173" s="8"/>
      <c r="G173" s="8"/>
      <c r="H173" s="3"/>
      <c r="I173" s="8"/>
      <c r="J173" s="8"/>
      <c r="K173" s="8"/>
      <c r="L173" s="8"/>
      <c r="M173" s="8"/>
      <c r="N173" s="3"/>
      <c r="O173" s="3"/>
      <c r="P173" s="3"/>
      <c r="Q173" s="3"/>
      <c r="R173" s="3"/>
      <c r="S173" s="3"/>
      <c r="T173" s="3"/>
      <c r="U173" s="3"/>
      <c r="V173" s="3"/>
      <c r="W173" s="3"/>
      <c r="X173" s="3"/>
      <c r="Y173" s="3"/>
      <c r="Z173" s="3"/>
    </row>
    <row r="174" spans="1:26" ht="15.75" customHeight="1">
      <c r="A174" s="8"/>
      <c r="B174" s="8"/>
      <c r="C174" s="8"/>
      <c r="D174" s="8"/>
      <c r="E174" s="8"/>
      <c r="F174" s="8"/>
      <c r="G174" s="8"/>
      <c r="H174" s="3"/>
      <c r="I174" s="8"/>
      <c r="J174" s="8"/>
      <c r="K174" s="8"/>
      <c r="L174" s="8"/>
      <c r="M174" s="8"/>
      <c r="N174" s="3"/>
      <c r="O174" s="3"/>
      <c r="P174" s="3"/>
      <c r="Q174" s="3"/>
      <c r="R174" s="3"/>
      <c r="S174" s="3"/>
      <c r="T174" s="3"/>
      <c r="U174" s="3"/>
      <c r="V174" s="3"/>
      <c r="W174" s="3"/>
      <c r="X174" s="3"/>
      <c r="Y174" s="3"/>
      <c r="Z174" s="3"/>
    </row>
    <row r="175" spans="1:26" ht="15.75" customHeight="1">
      <c r="A175" s="8"/>
      <c r="B175" s="8"/>
      <c r="C175" s="8"/>
      <c r="D175" s="8"/>
      <c r="E175" s="8"/>
      <c r="F175" s="8"/>
      <c r="G175" s="8"/>
      <c r="H175" s="3"/>
      <c r="I175" s="8"/>
      <c r="J175" s="8"/>
      <c r="K175" s="8"/>
      <c r="L175" s="8"/>
      <c r="M175" s="8"/>
      <c r="N175" s="3"/>
      <c r="O175" s="3"/>
      <c r="P175" s="3"/>
      <c r="Q175" s="3"/>
      <c r="R175" s="3"/>
      <c r="S175" s="3"/>
      <c r="T175" s="3"/>
      <c r="U175" s="3"/>
      <c r="V175" s="3"/>
      <c r="W175" s="3"/>
      <c r="X175" s="3"/>
      <c r="Y175" s="3"/>
      <c r="Z175" s="3"/>
    </row>
    <row r="176" spans="1:26" ht="15.75" customHeight="1">
      <c r="A176" s="8"/>
      <c r="B176" s="8"/>
      <c r="C176" s="8"/>
      <c r="D176" s="8"/>
      <c r="E176" s="8"/>
      <c r="F176" s="8"/>
      <c r="G176" s="8"/>
      <c r="H176" s="3"/>
      <c r="I176" s="8"/>
      <c r="J176" s="8"/>
      <c r="K176" s="8"/>
      <c r="L176" s="8"/>
      <c r="M176" s="8"/>
      <c r="N176" s="3"/>
      <c r="O176" s="3"/>
      <c r="P176" s="3"/>
      <c r="Q176" s="3"/>
      <c r="R176" s="3"/>
      <c r="S176" s="3"/>
      <c r="T176" s="3"/>
      <c r="U176" s="3"/>
      <c r="V176" s="3"/>
      <c r="W176" s="3"/>
      <c r="X176" s="3"/>
      <c r="Y176" s="3"/>
      <c r="Z176" s="3"/>
    </row>
    <row r="177" spans="1:26" ht="15.75" customHeight="1">
      <c r="A177" s="8"/>
      <c r="B177" s="8"/>
      <c r="C177" s="8"/>
      <c r="D177" s="8"/>
      <c r="E177" s="8"/>
      <c r="F177" s="8"/>
      <c r="G177" s="8"/>
      <c r="H177" s="3"/>
      <c r="I177" s="8"/>
      <c r="J177" s="8"/>
      <c r="K177" s="8"/>
      <c r="L177" s="8"/>
      <c r="M177" s="8"/>
      <c r="N177" s="3"/>
      <c r="O177" s="3"/>
      <c r="P177" s="3"/>
      <c r="Q177" s="3"/>
      <c r="R177" s="3"/>
      <c r="S177" s="3"/>
      <c r="T177" s="3"/>
      <c r="U177" s="3"/>
      <c r="V177" s="3"/>
      <c r="W177" s="3"/>
      <c r="X177" s="3"/>
      <c r="Y177" s="3"/>
      <c r="Z177" s="3"/>
    </row>
    <row r="178" spans="1:26" ht="15.75" customHeight="1">
      <c r="A178" s="8"/>
      <c r="B178" s="8"/>
      <c r="C178" s="8"/>
      <c r="D178" s="8"/>
      <c r="E178" s="8"/>
      <c r="F178" s="8"/>
      <c r="G178" s="8"/>
      <c r="H178" s="3"/>
      <c r="I178" s="8"/>
      <c r="J178" s="8"/>
      <c r="K178" s="8"/>
      <c r="L178" s="8"/>
      <c r="M178" s="8"/>
      <c r="N178" s="3"/>
      <c r="O178" s="3"/>
      <c r="P178" s="3"/>
      <c r="Q178" s="3"/>
      <c r="R178" s="3"/>
      <c r="S178" s="3"/>
      <c r="T178" s="3"/>
      <c r="U178" s="3"/>
      <c r="V178" s="3"/>
      <c r="W178" s="3"/>
      <c r="X178" s="3"/>
      <c r="Y178" s="3"/>
      <c r="Z178" s="3"/>
    </row>
    <row r="179" spans="1:26" ht="15.75" customHeight="1">
      <c r="A179" s="8"/>
      <c r="B179" s="8"/>
      <c r="C179" s="8"/>
      <c r="D179" s="8"/>
      <c r="E179" s="8"/>
      <c r="F179" s="8"/>
      <c r="G179" s="8"/>
      <c r="H179" s="3"/>
      <c r="I179" s="8"/>
      <c r="J179" s="8"/>
      <c r="K179" s="8"/>
      <c r="L179" s="8"/>
      <c r="M179" s="8"/>
      <c r="N179" s="3"/>
      <c r="O179" s="3"/>
      <c r="P179" s="3"/>
      <c r="Q179" s="3"/>
      <c r="R179" s="3"/>
      <c r="S179" s="3"/>
      <c r="T179" s="3"/>
      <c r="U179" s="3"/>
      <c r="V179" s="3"/>
      <c r="W179" s="3"/>
      <c r="X179" s="3"/>
      <c r="Y179" s="3"/>
      <c r="Z179" s="3"/>
    </row>
    <row r="180" spans="1:26" ht="15.75" customHeight="1">
      <c r="A180" s="8"/>
      <c r="B180" s="8"/>
      <c r="C180" s="8"/>
      <c r="D180" s="8"/>
      <c r="E180" s="8"/>
      <c r="F180" s="8"/>
      <c r="G180" s="8"/>
      <c r="H180" s="3"/>
      <c r="I180" s="8"/>
      <c r="J180" s="8"/>
      <c r="K180" s="8"/>
      <c r="L180" s="8"/>
      <c r="M180" s="8"/>
      <c r="N180" s="3"/>
      <c r="O180" s="3"/>
      <c r="P180" s="3"/>
      <c r="Q180" s="3"/>
      <c r="R180" s="3"/>
      <c r="S180" s="3"/>
      <c r="T180" s="3"/>
      <c r="U180" s="3"/>
      <c r="V180" s="3"/>
      <c r="W180" s="3"/>
      <c r="X180" s="3"/>
      <c r="Y180" s="3"/>
      <c r="Z180" s="3"/>
    </row>
    <row r="181" spans="1:26" ht="15.75" customHeight="1">
      <c r="A181" s="8"/>
      <c r="B181" s="8"/>
      <c r="C181" s="8"/>
      <c r="D181" s="8"/>
      <c r="E181" s="8"/>
      <c r="F181" s="8"/>
      <c r="G181" s="8"/>
      <c r="H181" s="3"/>
      <c r="I181" s="8"/>
      <c r="J181" s="8"/>
      <c r="K181" s="8"/>
      <c r="L181" s="8"/>
      <c r="M181" s="8"/>
      <c r="N181" s="3"/>
      <c r="O181" s="3"/>
      <c r="P181" s="3"/>
      <c r="Q181" s="3"/>
      <c r="R181" s="3"/>
      <c r="S181" s="3"/>
      <c r="T181" s="3"/>
      <c r="U181" s="3"/>
      <c r="V181" s="3"/>
      <c r="W181" s="3"/>
      <c r="X181" s="3"/>
      <c r="Y181" s="3"/>
      <c r="Z181" s="3"/>
    </row>
    <row r="182" spans="1:26" ht="15.75" customHeight="1">
      <c r="A182" s="8"/>
      <c r="B182" s="8"/>
      <c r="C182" s="8"/>
      <c r="D182" s="8"/>
      <c r="E182" s="8"/>
      <c r="F182" s="8"/>
      <c r="G182" s="8"/>
      <c r="H182" s="3"/>
      <c r="I182" s="8"/>
      <c r="J182" s="8"/>
      <c r="K182" s="8"/>
      <c r="L182" s="8"/>
      <c r="M182" s="8"/>
      <c r="N182" s="3"/>
      <c r="O182" s="3"/>
      <c r="P182" s="3"/>
      <c r="Q182" s="3"/>
      <c r="R182" s="3"/>
      <c r="S182" s="3"/>
      <c r="T182" s="3"/>
      <c r="U182" s="3"/>
      <c r="V182" s="3"/>
      <c r="W182" s="3"/>
      <c r="X182" s="3"/>
      <c r="Y182" s="3"/>
      <c r="Z182" s="3"/>
    </row>
    <row r="183" spans="1:26" ht="15.75" customHeight="1">
      <c r="A183" s="8"/>
      <c r="B183" s="8"/>
      <c r="C183" s="8"/>
      <c r="D183" s="8"/>
      <c r="E183" s="8"/>
      <c r="F183" s="8"/>
      <c r="G183" s="8"/>
      <c r="H183" s="3"/>
      <c r="I183" s="8"/>
      <c r="J183" s="8"/>
      <c r="K183" s="8"/>
      <c r="L183" s="8"/>
      <c r="M183" s="8"/>
      <c r="N183" s="3"/>
      <c r="O183" s="3"/>
      <c r="P183" s="3"/>
      <c r="Q183" s="3"/>
      <c r="R183" s="3"/>
      <c r="S183" s="3"/>
      <c r="T183" s="3"/>
      <c r="U183" s="3"/>
      <c r="V183" s="3"/>
      <c r="W183" s="3"/>
      <c r="X183" s="3"/>
      <c r="Y183" s="3"/>
      <c r="Z183" s="3"/>
    </row>
    <row r="184" spans="1:26" ht="15.75" customHeight="1">
      <c r="A184" s="8"/>
      <c r="B184" s="8"/>
      <c r="C184" s="8"/>
      <c r="D184" s="8"/>
      <c r="E184" s="8"/>
      <c r="F184" s="8"/>
      <c r="G184" s="8"/>
      <c r="H184" s="3"/>
      <c r="I184" s="8"/>
      <c r="J184" s="8"/>
      <c r="K184" s="8"/>
      <c r="L184" s="8"/>
      <c r="M184" s="8"/>
      <c r="N184" s="3"/>
      <c r="O184" s="3"/>
      <c r="P184" s="3"/>
      <c r="Q184" s="3"/>
      <c r="R184" s="3"/>
      <c r="S184" s="3"/>
      <c r="T184" s="3"/>
      <c r="U184" s="3"/>
      <c r="V184" s="3"/>
      <c r="W184" s="3"/>
      <c r="X184" s="3"/>
      <c r="Y184" s="3"/>
      <c r="Z184" s="3"/>
    </row>
    <row r="185" spans="1:26" ht="15.75" customHeight="1">
      <c r="A185" s="8"/>
      <c r="B185" s="8"/>
      <c r="C185" s="8"/>
      <c r="D185" s="8"/>
      <c r="E185" s="8"/>
      <c r="F185" s="8"/>
      <c r="G185" s="8"/>
      <c r="H185" s="3"/>
      <c r="I185" s="8"/>
      <c r="J185" s="8"/>
      <c r="K185" s="8"/>
      <c r="L185" s="8"/>
      <c r="M185" s="8"/>
      <c r="N185" s="3"/>
      <c r="O185" s="3"/>
      <c r="P185" s="3"/>
      <c r="Q185" s="3"/>
      <c r="R185" s="3"/>
      <c r="S185" s="3"/>
      <c r="T185" s="3"/>
      <c r="U185" s="3"/>
      <c r="V185" s="3"/>
      <c r="W185" s="3"/>
      <c r="X185" s="3"/>
      <c r="Y185" s="3"/>
      <c r="Z185" s="3"/>
    </row>
    <row r="186" spans="1:26" ht="15.75" customHeight="1">
      <c r="A186" s="8"/>
      <c r="B186" s="8"/>
      <c r="C186" s="8"/>
      <c r="D186" s="8"/>
      <c r="E186" s="8"/>
      <c r="F186" s="8"/>
      <c r="G186" s="8"/>
      <c r="H186" s="3"/>
      <c r="I186" s="8"/>
      <c r="J186" s="8"/>
      <c r="K186" s="8"/>
      <c r="L186" s="8"/>
      <c r="M186" s="8"/>
      <c r="N186" s="3"/>
      <c r="O186" s="3"/>
      <c r="P186" s="3"/>
      <c r="Q186" s="3"/>
      <c r="R186" s="3"/>
      <c r="S186" s="3"/>
      <c r="T186" s="3"/>
      <c r="U186" s="3"/>
      <c r="V186" s="3"/>
      <c r="W186" s="3"/>
      <c r="X186" s="3"/>
      <c r="Y186" s="3"/>
      <c r="Z186" s="3"/>
    </row>
    <row r="187" spans="1:26" ht="15.75" customHeight="1">
      <c r="A187" s="8"/>
      <c r="B187" s="8"/>
      <c r="C187" s="8"/>
      <c r="D187" s="8"/>
      <c r="E187" s="8"/>
      <c r="F187" s="8"/>
      <c r="G187" s="8"/>
      <c r="H187" s="3"/>
      <c r="I187" s="8"/>
      <c r="J187" s="8"/>
      <c r="K187" s="8"/>
      <c r="L187" s="8"/>
      <c r="M187" s="8"/>
      <c r="N187" s="3"/>
      <c r="O187" s="3"/>
      <c r="P187" s="3"/>
      <c r="Q187" s="3"/>
      <c r="R187" s="3"/>
      <c r="S187" s="3"/>
      <c r="T187" s="3"/>
      <c r="U187" s="3"/>
      <c r="V187" s="3"/>
      <c r="W187" s="3"/>
      <c r="X187" s="3"/>
      <c r="Y187" s="3"/>
      <c r="Z187" s="3"/>
    </row>
    <row r="188" spans="1:26" ht="15.75" customHeight="1">
      <c r="A188" s="8"/>
      <c r="B188" s="8"/>
      <c r="C188" s="8"/>
      <c r="D188" s="8"/>
      <c r="E188" s="8"/>
      <c r="F188" s="8"/>
      <c r="G188" s="8"/>
      <c r="H188" s="3"/>
      <c r="I188" s="8"/>
      <c r="J188" s="8"/>
      <c r="K188" s="8"/>
      <c r="L188" s="8"/>
      <c r="M188" s="8"/>
      <c r="N188" s="3"/>
      <c r="O188" s="3"/>
      <c r="P188" s="3"/>
      <c r="Q188" s="3"/>
      <c r="R188" s="3"/>
      <c r="S188" s="3"/>
      <c r="T188" s="3"/>
      <c r="U188" s="3"/>
      <c r="V188" s="3"/>
      <c r="W188" s="3"/>
      <c r="X188" s="3"/>
      <c r="Y188" s="3"/>
      <c r="Z188" s="3"/>
    </row>
    <row r="189" spans="1:26" ht="15.75" customHeight="1">
      <c r="A189" s="8"/>
      <c r="B189" s="8"/>
      <c r="C189" s="8"/>
      <c r="D189" s="8"/>
      <c r="E189" s="8"/>
      <c r="F189" s="8"/>
      <c r="G189" s="8"/>
      <c r="H189" s="3"/>
      <c r="I189" s="8"/>
      <c r="J189" s="8"/>
      <c r="K189" s="8"/>
      <c r="L189" s="8"/>
      <c r="M189" s="8"/>
      <c r="N189" s="3"/>
      <c r="O189" s="3"/>
      <c r="P189" s="3"/>
      <c r="Q189" s="3"/>
      <c r="R189" s="3"/>
      <c r="S189" s="3"/>
      <c r="T189" s="3"/>
      <c r="U189" s="3"/>
      <c r="V189" s="3"/>
      <c r="W189" s="3"/>
      <c r="X189" s="3"/>
      <c r="Y189" s="3"/>
      <c r="Z189" s="3"/>
    </row>
    <row r="190" spans="1:26" ht="15.75" customHeight="1">
      <c r="A190" s="8"/>
      <c r="B190" s="8"/>
      <c r="C190" s="8"/>
      <c r="D190" s="8"/>
      <c r="E190" s="8"/>
      <c r="F190" s="8"/>
      <c r="G190" s="8"/>
      <c r="H190" s="3"/>
      <c r="I190" s="8"/>
      <c r="J190" s="8"/>
      <c r="K190" s="8"/>
      <c r="L190" s="8"/>
      <c r="M190" s="8"/>
      <c r="N190" s="3"/>
      <c r="O190" s="3"/>
      <c r="P190" s="3"/>
      <c r="Q190" s="3"/>
      <c r="R190" s="3"/>
      <c r="S190" s="3"/>
      <c r="T190" s="3"/>
      <c r="U190" s="3"/>
      <c r="V190" s="3"/>
      <c r="W190" s="3"/>
      <c r="X190" s="3"/>
      <c r="Y190" s="3"/>
      <c r="Z190" s="3"/>
    </row>
    <row r="191" spans="1:26" ht="15.75" customHeight="1">
      <c r="A191" s="8"/>
      <c r="B191" s="8"/>
      <c r="C191" s="8"/>
      <c r="D191" s="8"/>
      <c r="E191" s="8"/>
      <c r="F191" s="8"/>
      <c r="G191" s="8"/>
      <c r="H191" s="3"/>
      <c r="I191" s="8"/>
      <c r="J191" s="8"/>
      <c r="K191" s="8"/>
      <c r="L191" s="8"/>
      <c r="M191" s="8"/>
      <c r="N191" s="3"/>
      <c r="O191" s="3"/>
      <c r="P191" s="3"/>
      <c r="Q191" s="3"/>
      <c r="R191" s="3"/>
      <c r="S191" s="3"/>
      <c r="T191" s="3"/>
      <c r="U191" s="3"/>
      <c r="V191" s="3"/>
      <c r="W191" s="3"/>
      <c r="X191" s="3"/>
      <c r="Y191" s="3"/>
      <c r="Z191" s="3"/>
    </row>
    <row r="192" spans="1:26" ht="15.75" customHeight="1">
      <c r="A192" s="8"/>
      <c r="B192" s="8"/>
      <c r="C192" s="8"/>
      <c r="D192" s="8"/>
      <c r="E192" s="8"/>
      <c r="F192" s="8"/>
      <c r="G192" s="8"/>
      <c r="H192" s="3"/>
      <c r="I192" s="8"/>
      <c r="J192" s="8"/>
      <c r="K192" s="8"/>
      <c r="L192" s="8"/>
      <c r="M192" s="8"/>
      <c r="N192" s="3"/>
      <c r="O192" s="3"/>
      <c r="P192" s="3"/>
      <c r="Q192" s="3"/>
      <c r="R192" s="3"/>
      <c r="S192" s="3"/>
      <c r="T192" s="3"/>
      <c r="U192" s="3"/>
      <c r="V192" s="3"/>
      <c r="W192" s="3"/>
      <c r="X192" s="3"/>
      <c r="Y192" s="3"/>
      <c r="Z192" s="3"/>
    </row>
    <row r="193" spans="1:26" ht="15.75" customHeight="1">
      <c r="A193" s="8"/>
      <c r="B193" s="8"/>
      <c r="C193" s="8"/>
      <c r="D193" s="8"/>
      <c r="E193" s="8"/>
      <c r="F193" s="8"/>
      <c r="G193" s="8"/>
      <c r="H193" s="3"/>
      <c r="I193" s="8"/>
      <c r="J193" s="8"/>
      <c r="K193" s="8"/>
      <c r="L193" s="8"/>
      <c r="M193" s="8"/>
      <c r="N193" s="3"/>
      <c r="O193" s="3"/>
      <c r="P193" s="3"/>
      <c r="Q193" s="3"/>
      <c r="R193" s="3"/>
      <c r="S193" s="3"/>
      <c r="T193" s="3"/>
      <c r="U193" s="3"/>
      <c r="V193" s="3"/>
      <c r="W193" s="3"/>
      <c r="X193" s="3"/>
      <c r="Y193" s="3"/>
      <c r="Z193" s="3"/>
    </row>
    <row r="194" spans="1:26" ht="15.75" customHeight="1">
      <c r="A194" s="8"/>
      <c r="B194" s="8"/>
      <c r="C194" s="8"/>
      <c r="D194" s="8"/>
      <c r="E194" s="8"/>
      <c r="F194" s="8"/>
      <c r="G194" s="8"/>
      <c r="H194" s="3"/>
      <c r="I194" s="8"/>
      <c r="J194" s="8"/>
      <c r="K194" s="8"/>
      <c r="L194" s="8"/>
      <c r="M194" s="8"/>
      <c r="N194" s="3"/>
      <c r="O194" s="3"/>
      <c r="P194" s="3"/>
      <c r="Q194" s="3"/>
      <c r="R194" s="3"/>
      <c r="S194" s="3"/>
      <c r="T194" s="3"/>
      <c r="U194" s="3"/>
      <c r="V194" s="3"/>
      <c r="W194" s="3"/>
      <c r="X194" s="3"/>
      <c r="Y194" s="3"/>
      <c r="Z194" s="3"/>
    </row>
    <row r="195" spans="1:26" ht="15.75" customHeight="1">
      <c r="A195" s="8"/>
      <c r="B195" s="8"/>
      <c r="C195" s="8"/>
      <c r="D195" s="8"/>
      <c r="E195" s="8"/>
      <c r="F195" s="8"/>
      <c r="G195" s="8"/>
      <c r="H195" s="3"/>
      <c r="I195" s="8"/>
      <c r="J195" s="8"/>
      <c r="K195" s="8"/>
      <c r="L195" s="8"/>
      <c r="M195" s="8"/>
      <c r="N195" s="3"/>
      <c r="O195" s="3"/>
      <c r="P195" s="3"/>
      <c r="Q195" s="3"/>
      <c r="R195" s="3"/>
      <c r="S195" s="3"/>
      <c r="T195" s="3"/>
      <c r="U195" s="3"/>
      <c r="V195" s="3"/>
      <c r="W195" s="3"/>
      <c r="X195" s="3"/>
      <c r="Y195" s="3"/>
      <c r="Z195" s="3"/>
    </row>
    <row r="196" spans="1:26" ht="15.75" customHeight="1">
      <c r="A196" s="8"/>
      <c r="B196" s="8"/>
      <c r="C196" s="8"/>
      <c r="D196" s="8"/>
      <c r="E196" s="8"/>
      <c r="F196" s="8"/>
      <c r="G196" s="8"/>
      <c r="H196" s="3"/>
      <c r="I196" s="8"/>
      <c r="J196" s="8"/>
      <c r="K196" s="8"/>
      <c r="L196" s="8"/>
      <c r="M196" s="8"/>
      <c r="N196" s="3"/>
      <c r="O196" s="3"/>
      <c r="P196" s="3"/>
      <c r="Q196" s="3"/>
      <c r="R196" s="3"/>
      <c r="S196" s="3"/>
      <c r="T196" s="3"/>
      <c r="U196" s="3"/>
      <c r="V196" s="3"/>
      <c r="W196" s="3"/>
      <c r="X196" s="3"/>
      <c r="Y196" s="3"/>
      <c r="Z196" s="3"/>
    </row>
    <row r="197" spans="1:26" ht="15.75" customHeight="1">
      <c r="A197" s="8"/>
      <c r="B197" s="8"/>
      <c r="C197" s="8"/>
      <c r="D197" s="8"/>
      <c r="E197" s="8"/>
      <c r="F197" s="8"/>
      <c r="G197" s="8"/>
      <c r="H197" s="3"/>
      <c r="I197" s="8"/>
      <c r="J197" s="8"/>
      <c r="K197" s="8"/>
      <c r="L197" s="8"/>
      <c r="M197" s="8"/>
      <c r="N197" s="3"/>
      <c r="O197" s="3"/>
      <c r="P197" s="3"/>
      <c r="Q197" s="3"/>
      <c r="R197" s="3"/>
      <c r="S197" s="3"/>
      <c r="T197" s="3"/>
      <c r="U197" s="3"/>
      <c r="V197" s="3"/>
      <c r="W197" s="3"/>
      <c r="X197" s="3"/>
      <c r="Y197" s="3"/>
      <c r="Z197" s="3"/>
    </row>
    <row r="198" spans="1:26" ht="15.75" customHeight="1">
      <c r="A198" s="8"/>
      <c r="B198" s="8"/>
      <c r="C198" s="8"/>
      <c r="D198" s="8"/>
      <c r="E198" s="8"/>
      <c r="F198" s="8"/>
      <c r="G198" s="8"/>
      <c r="H198" s="3"/>
      <c r="I198" s="8"/>
      <c r="J198" s="8"/>
      <c r="K198" s="8"/>
      <c r="L198" s="8"/>
      <c r="M198" s="8"/>
      <c r="N198" s="3"/>
      <c r="O198" s="3"/>
      <c r="P198" s="3"/>
      <c r="Q198" s="3"/>
      <c r="R198" s="3"/>
      <c r="S198" s="3"/>
      <c r="T198" s="3"/>
      <c r="U198" s="3"/>
      <c r="V198" s="3"/>
      <c r="W198" s="3"/>
      <c r="X198" s="3"/>
      <c r="Y198" s="3"/>
      <c r="Z198" s="3"/>
    </row>
    <row r="199" spans="1:26" ht="15.75" customHeight="1">
      <c r="A199" s="8"/>
      <c r="B199" s="8"/>
      <c r="C199" s="8"/>
      <c r="D199" s="8"/>
      <c r="E199" s="8"/>
      <c r="F199" s="8"/>
      <c r="G199" s="8"/>
      <c r="H199" s="3"/>
      <c r="I199" s="8"/>
      <c r="J199" s="8"/>
      <c r="K199" s="8"/>
      <c r="L199" s="8"/>
      <c r="M199" s="8"/>
      <c r="N199" s="3"/>
      <c r="O199" s="3"/>
      <c r="P199" s="3"/>
      <c r="Q199" s="3"/>
      <c r="R199" s="3"/>
      <c r="S199" s="3"/>
      <c r="T199" s="3"/>
      <c r="U199" s="3"/>
      <c r="V199" s="3"/>
      <c r="W199" s="3"/>
      <c r="X199" s="3"/>
      <c r="Y199" s="3"/>
      <c r="Z199" s="3"/>
    </row>
    <row r="200" spans="1:26" ht="15.75" customHeight="1">
      <c r="A200" s="8"/>
      <c r="B200" s="8"/>
      <c r="C200" s="8"/>
      <c r="D200" s="8"/>
      <c r="E200" s="8"/>
      <c r="F200" s="8"/>
      <c r="G200" s="8"/>
      <c r="H200" s="3"/>
      <c r="I200" s="8"/>
      <c r="J200" s="8"/>
      <c r="K200" s="8"/>
      <c r="L200" s="8"/>
      <c r="M200" s="8"/>
      <c r="N200" s="3"/>
      <c r="O200" s="3"/>
      <c r="P200" s="3"/>
      <c r="Q200" s="3"/>
      <c r="R200" s="3"/>
      <c r="S200" s="3"/>
      <c r="T200" s="3"/>
      <c r="U200" s="3"/>
      <c r="V200" s="3"/>
      <c r="W200" s="3"/>
      <c r="X200" s="3"/>
      <c r="Y200" s="3"/>
      <c r="Z200" s="3"/>
    </row>
    <row r="201" spans="1:26" ht="15.75" customHeight="1">
      <c r="A201" s="8"/>
      <c r="B201" s="8"/>
      <c r="C201" s="8"/>
      <c r="D201" s="8"/>
      <c r="E201" s="8"/>
      <c r="F201" s="8"/>
      <c r="G201" s="8"/>
      <c r="H201" s="3"/>
      <c r="I201" s="8"/>
      <c r="J201" s="8"/>
      <c r="K201" s="8"/>
      <c r="L201" s="8"/>
      <c r="M201" s="8"/>
      <c r="N201" s="3"/>
      <c r="O201" s="3"/>
      <c r="P201" s="3"/>
      <c r="Q201" s="3"/>
      <c r="R201" s="3"/>
      <c r="S201" s="3"/>
      <c r="T201" s="3"/>
      <c r="U201" s="3"/>
      <c r="V201" s="3"/>
      <c r="W201" s="3"/>
      <c r="X201" s="3"/>
      <c r="Y201" s="3"/>
      <c r="Z201" s="3"/>
    </row>
    <row r="202" spans="1:26" ht="15.75" customHeight="1">
      <c r="A202" s="8"/>
      <c r="B202" s="8"/>
      <c r="C202" s="8"/>
      <c r="D202" s="8"/>
      <c r="E202" s="8"/>
      <c r="F202" s="8"/>
      <c r="G202" s="8"/>
      <c r="H202" s="3"/>
      <c r="I202" s="8"/>
      <c r="J202" s="8"/>
      <c r="K202" s="8"/>
      <c r="L202" s="8"/>
      <c r="M202" s="8"/>
      <c r="N202" s="3"/>
      <c r="O202" s="3"/>
      <c r="P202" s="3"/>
      <c r="Q202" s="3"/>
      <c r="R202" s="3"/>
      <c r="S202" s="3"/>
      <c r="T202" s="3"/>
      <c r="U202" s="3"/>
      <c r="V202" s="3"/>
      <c r="W202" s="3"/>
      <c r="X202" s="3"/>
      <c r="Y202" s="3"/>
      <c r="Z202" s="3"/>
    </row>
    <row r="203" spans="1:26" ht="15.75" customHeight="1">
      <c r="A203" s="8"/>
      <c r="B203" s="8"/>
      <c r="C203" s="8"/>
      <c r="D203" s="8"/>
      <c r="E203" s="8"/>
      <c r="F203" s="8"/>
      <c r="G203" s="8"/>
      <c r="H203" s="3"/>
      <c r="I203" s="8"/>
      <c r="J203" s="8"/>
      <c r="K203" s="8"/>
      <c r="L203" s="8"/>
      <c r="M203" s="8"/>
      <c r="N203" s="3"/>
      <c r="O203" s="3"/>
      <c r="P203" s="3"/>
      <c r="Q203" s="3"/>
      <c r="R203" s="3"/>
      <c r="S203" s="3"/>
      <c r="T203" s="3"/>
      <c r="U203" s="3"/>
      <c r="V203" s="3"/>
      <c r="W203" s="3"/>
      <c r="X203" s="3"/>
      <c r="Y203" s="3"/>
      <c r="Z203" s="3"/>
    </row>
    <row r="204" spans="1:26" ht="15.75" customHeight="1">
      <c r="A204" s="8"/>
      <c r="B204" s="8"/>
      <c r="C204" s="8"/>
      <c r="D204" s="8"/>
      <c r="E204" s="8"/>
      <c r="F204" s="8"/>
      <c r="G204" s="8"/>
      <c r="H204" s="3"/>
      <c r="I204" s="8"/>
      <c r="J204" s="8"/>
      <c r="K204" s="8"/>
      <c r="L204" s="8"/>
      <c r="M204" s="8"/>
      <c r="N204" s="3"/>
      <c r="O204" s="3"/>
      <c r="P204" s="3"/>
      <c r="Q204" s="3"/>
      <c r="R204" s="3"/>
      <c r="S204" s="3"/>
      <c r="T204" s="3"/>
      <c r="U204" s="3"/>
      <c r="V204" s="3"/>
      <c r="W204" s="3"/>
      <c r="X204" s="3"/>
      <c r="Y204" s="3"/>
      <c r="Z204" s="3"/>
    </row>
    <row r="205" spans="1:26" ht="15.75" customHeight="1">
      <c r="A205" s="8"/>
      <c r="B205" s="8"/>
      <c r="C205" s="8"/>
      <c r="D205" s="8"/>
      <c r="E205" s="8"/>
      <c r="F205" s="8"/>
      <c r="G205" s="8"/>
      <c r="H205" s="3"/>
      <c r="I205" s="8"/>
      <c r="J205" s="8"/>
      <c r="K205" s="8"/>
      <c r="L205" s="8"/>
      <c r="M205" s="8"/>
      <c r="N205" s="3"/>
      <c r="O205" s="3"/>
      <c r="P205" s="3"/>
      <c r="Q205" s="3"/>
      <c r="R205" s="3"/>
      <c r="S205" s="3"/>
      <c r="T205" s="3"/>
      <c r="U205" s="3"/>
      <c r="V205" s="3"/>
      <c r="W205" s="3"/>
      <c r="X205" s="3"/>
      <c r="Y205" s="3"/>
      <c r="Z205" s="3"/>
    </row>
    <row r="206" spans="1:26" ht="15.75" customHeight="1">
      <c r="A206" s="8"/>
      <c r="B206" s="8"/>
      <c r="C206" s="8"/>
      <c r="D206" s="8"/>
      <c r="E206" s="8"/>
      <c r="F206" s="8"/>
      <c r="G206" s="8"/>
      <c r="H206" s="3"/>
      <c r="I206" s="8"/>
      <c r="J206" s="8"/>
      <c r="K206" s="8"/>
      <c r="L206" s="8"/>
      <c r="M206" s="8"/>
      <c r="N206" s="3"/>
      <c r="O206" s="3"/>
      <c r="P206" s="3"/>
      <c r="Q206" s="3"/>
      <c r="R206" s="3"/>
      <c r="S206" s="3"/>
      <c r="T206" s="3"/>
      <c r="U206" s="3"/>
      <c r="V206" s="3"/>
      <c r="W206" s="3"/>
      <c r="X206" s="3"/>
      <c r="Y206" s="3"/>
      <c r="Z206" s="3"/>
    </row>
    <row r="207" spans="1:26" ht="15.75" customHeight="1">
      <c r="A207" s="8"/>
      <c r="B207" s="8"/>
      <c r="C207" s="8"/>
      <c r="D207" s="8"/>
      <c r="E207" s="8"/>
      <c r="F207" s="8"/>
      <c r="G207" s="8"/>
      <c r="H207" s="3"/>
      <c r="I207" s="8"/>
      <c r="J207" s="8"/>
      <c r="K207" s="8"/>
      <c r="L207" s="8"/>
      <c r="M207" s="8"/>
      <c r="N207" s="3"/>
      <c r="O207" s="3"/>
      <c r="P207" s="3"/>
      <c r="Q207" s="3"/>
      <c r="R207" s="3"/>
      <c r="S207" s="3"/>
      <c r="T207" s="3"/>
      <c r="U207" s="3"/>
      <c r="V207" s="3"/>
      <c r="W207" s="3"/>
      <c r="X207" s="3"/>
      <c r="Y207" s="3"/>
      <c r="Z207" s="3"/>
    </row>
    <row r="208" spans="1:26" ht="15.75" customHeight="1">
      <c r="A208" s="8"/>
      <c r="B208" s="8"/>
      <c r="C208" s="8"/>
      <c r="D208" s="8"/>
      <c r="E208" s="8"/>
      <c r="F208" s="8"/>
      <c r="G208" s="8"/>
      <c r="H208" s="3"/>
      <c r="I208" s="8"/>
      <c r="J208" s="8"/>
      <c r="K208" s="8"/>
      <c r="L208" s="8"/>
      <c r="M208" s="8"/>
      <c r="N208" s="3"/>
      <c r="O208" s="3"/>
      <c r="P208" s="3"/>
      <c r="Q208" s="3"/>
      <c r="R208" s="3"/>
      <c r="S208" s="3"/>
      <c r="T208" s="3"/>
      <c r="U208" s="3"/>
      <c r="V208" s="3"/>
      <c r="W208" s="3"/>
      <c r="X208" s="3"/>
      <c r="Y208" s="3"/>
      <c r="Z208" s="3"/>
    </row>
    <row r="209" spans="1:26" ht="15.75" customHeight="1">
      <c r="A209" s="8"/>
      <c r="B209" s="8"/>
      <c r="C209" s="8"/>
      <c r="D209" s="8"/>
      <c r="E209" s="8"/>
      <c r="F209" s="8"/>
      <c r="G209" s="8"/>
      <c r="H209" s="3"/>
      <c r="I209" s="8"/>
      <c r="J209" s="8"/>
      <c r="K209" s="8"/>
      <c r="L209" s="8"/>
      <c r="M209" s="8"/>
      <c r="N209" s="3"/>
      <c r="O209" s="3"/>
      <c r="P209" s="3"/>
      <c r="Q209" s="3"/>
      <c r="R209" s="3"/>
      <c r="S209" s="3"/>
      <c r="T209" s="3"/>
      <c r="U209" s="3"/>
      <c r="V209" s="3"/>
      <c r="W209" s="3"/>
      <c r="X209" s="3"/>
      <c r="Y209" s="3"/>
      <c r="Z209" s="3"/>
    </row>
    <row r="210" spans="1:26" ht="15.75" customHeight="1">
      <c r="A210" s="8"/>
      <c r="B210" s="8"/>
      <c r="C210" s="8"/>
      <c r="D210" s="8"/>
      <c r="E210" s="8"/>
      <c r="F210" s="8"/>
      <c r="G210" s="8"/>
      <c r="H210" s="3"/>
      <c r="I210" s="8"/>
      <c r="J210" s="8"/>
      <c r="K210" s="8"/>
      <c r="L210" s="8"/>
      <c r="M210" s="8"/>
      <c r="N210" s="3"/>
      <c r="O210" s="3"/>
      <c r="P210" s="3"/>
      <c r="Q210" s="3"/>
      <c r="R210" s="3"/>
      <c r="S210" s="3"/>
      <c r="T210" s="3"/>
      <c r="U210" s="3"/>
      <c r="V210" s="3"/>
      <c r="W210" s="3"/>
      <c r="X210" s="3"/>
      <c r="Y210" s="3"/>
      <c r="Z210" s="3"/>
    </row>
    <row r="211" spans="1:26" ht="15.75" customHeight="1">
      <c r="A211" s="8"/>
      <c r="B211" s="8"/>
      <c r="C211" s="8"/>
      <c r="D211" s="8"/>
      <c r="E211" s="8"/>
      <c r="F211" s="8"/>
      <c r="G211" s="8"/>
      <c r="H211" s="3"/>
      <c r="I211" s="8"/>
      <c r="J211" s="8"/>
      <c r="K211" s="8"/>
      <c r="L211" s="8"/>
      <c r="M211" s="8"/>
      <c r="N211" s="3"/>
      <c r="O211" s="3"/>
      <c r="P211" s="3"/>
      <c r="Q211" s="3"/>
      <c r="R211" s="3"/>
      <c r="S211" s="3"/>
      <c r="T211" s="3"/>
      <c r="U211" s="3"/>
      <c r="V211" s="3"/>
      <c r="W211" s="3"/>
      <c r="X211" s="3"/>
      <c r="Y211" s="3"/>
      <c r="Z211" s="3"/>
    </row>
    <row r="212" spans="1:26" ht="15.75" customHeight="1">
      <c r="A212" s="8"/>
      <c r="B212" s="8"/>
      <c r="C212" s="8"/>
      <c r="D212" s="8"/>
      <c r="E212" s="8"/>
      <c r="F212" s="8"/>
      <c r="G212" s="8"/>
      <c r="H212" s="3"/>
      <c r="I212" s="8"/>
      <c r="J212" s="8"/>
      <c r="K212" s="8"/>
      <c r="L212" s="8"/>
      <c r="M212" s="8"/>
      <c r="N212" s="3"/>
      <c r="O212" s="3"/>
      <c r="P212" s="3"/>
      <c r="Q212" s="3"/>
      <c r="R212" s="3"/>
      <c r="S212" s="3"/>
      <c r="T212" s="3"/>
      <c r="U212" s="3"/>
      <c r="V212" s="3"/>
      <c r="W212" s="3"/>
      <c r="X212" s="3"/>
      <c r="Y212" s="3"/>
      <c r="Z212" s="3"/>
    </row>
    <row r="213" spans="1:26" ht="15.75" customHeight="1">
      <c r="A213" s="8"/>
      <c r="B213" s="8"/>
      <c r="C213" s="8"/>
      <c r="D213" s="8"/>
      <c r="E213" s="8"/>
      <c r="F213" s="8"/>
      <c r="G213" s="8"/>
      <c r="H213" s="3"/>
      <c r="I213" s="8"/>
      <c r="J213" s="8"/>
      <c r="K213" s="8"/>
      <c r="L213" s="8"/>
      <c r="M213" s="8"/>
      <c r="N213" s="3"/>
      <c r="O213" s="3"/>
      <c r="P213" s="3"/>
      <c r="Q213" s="3"/>
      <c r="R213" s="3"/>
      <c r="S213" s="3"/>
      <c r="T213" s="3"/>
      <c r="U213" s="3"/>
      <c r="V213" s="3"/>
      <c r="W213" s="3"/>
      <c r="X213" s="3"/>
      <c r="Y213" s="3"/>
      <c r="Z213" s="3"/>
    </row>
    <row r="214" spans="1:26" ht="15.75" customHeight="1">
      <c r="A214" s="8"/>
      <c r="B214" s="8"/>
      <c r="C214" s="8"/>
      <c r="D214" s="8"/>
      <c r="E214" s="8"/>
      <c r="F214" s="8"/>
      <c r="G214" s="8"/>
      <c r="H214" s="3"/>
      <c r="I214" s="8"/>
      <c r="J214" s="8"/>
      <c r="K214" s="8"/>
      <c r="L214" s="8"/>
      <c r="M214" s="8"/>
      <c r="N214" s="3"/>
      <c r="O214" s="3"/>
      <c r="P214" s="3"/>
      <c r="Q214" s="3"/>
      <c r="R214" s="3"/>
      <c r="S214" s="3"/>
      <c r="T214" s="3"/>
      <c r="U214" s="3"/>
      <c r="V214" s="3"/>
      <c r="W214" s="3"/>
      <c r="X214" s="3"/>
      <c r="Y214" s="3"/>
      <c r="Z214" s="3"/>
    </row>
    <row r="215" spans="1:26" ht="15.75" customHeight="1">
      <c r="A215" s="8"/>
      <c r="B215" s="8"/>
      <c r="C215" s="8"/>
      <c r="D215" s="8"/>
      <c r="E215" s="8"/>
      <c r="F215" s="8"/>
      <c r="G215" s="8"/>
      <c r="H215" s="3"/>
      <c r="I215" s="8"/>
      <c r="J215" s="8"/>
      <c r="K215" s="8"/>
      <c r="L215" s="8"/>
      <c r="M215" s="8"/>
      <c r="N215" s="3"/>
      <c r="O215" s="3"/>
      <c r="P215" s="3"/>
      <c r="Q215" s="3"/>
      <c r="R215" s="3"/>
      <c r="S215" s="3"/>
      <c r="T215" s="3"/>
      <c r="U215" s="3"/>
      <c r="V215" s="3"/>
      <c r="W215" s="3"/>
      <c r="X215" s="3"/>
      <c r="Y215" s="3"/>
      <c r="Z215" s="3"/>
    </row>
    <row r="216" spans="1:26" ht="15.75" customHeight="1">
      <c r="A216" s="8"/>
      <c r="B216" s="8"/>
      <c r="C216" s="8"/>
      <c r="D216" s="8"/>
      <c r="E216" s="8"/>
      <c r="F216" s="8"/>
      <c r="G216" s="8"/>
      <c r="H216" s="3"/>
      <c r="I216" s="8"/>
      <c r="J216" s="8"/>
      <c r="K216" s="8"/>
      <c r="L216" s="8"/>
      <c r="M216" s="8"/>
      <c r="N216" s="3"/>
      <c r="O216" s="3"/>
      <c r="P216" s="3"/>
      <c r="Q216" s="3"/>
      <c r="R216" s="3"/>
      <c r="S216" s="3"/>
      <c r="T216" s="3"/>
      <c r="U216" s="3"/>
      <c r="V216" s="3"/>
      <c r="W216" s="3"/>
      <c r="X216" s="3"/>
      <c r="Y216" s="3"/>
      <c r="Z216" s="3"/>
    </row>
    <row r="217" spans="1:26" ht="15.75" customHeight="1">
      <c r="A217" s="8"/>
      <c r="B217" s="8"/>
      <c r="C217" s="8"/>
      <c r="D217" s="8"/>
      <c r="E217" s="8"/>
      <c r="F217" s="8"/>
      <c r="G217" s="8"/>
      <c r="H217" s="3"/>
      <c r="I217" s="8"/>
      <c r="J217" s="8"/>
      <c r="K217" s="8"/>
      <c r="L217" s="8"/>
      <c r="M217" s="8"/>
      <c r="N217" s="3"/>
      <c r="O217" s="3"/>
      <c r="P217" s="3"/>
      <c r="Q217" s="3"/>
      <c r="R217" s="3"/>
      <c r="S217" s="3"/>
      <c r="T217" s="3"/>
      <c r="U217" s="3"/>
      <c r="V217" s="3"/>
      <c r="W217" s="3"/>
      <c r="X217" s="3"/>
      <c r="Y217" s="3"/>
      <c r="Z217" s="3"/>
    </row>
    <row r="218" spans="1:26" ht="15.75" customHeight="1">
      <c r="A218" s="8"/>
      <c r="B218" s="8"/>
      <c r="C218" s="8"/>
      <c r="D218" s="8"/>
      <c r="E218" s="8"/>
      <c r="F218" s="8"/>
      <c r="G218" s="8"/>
      <c r="H218" s="3"/>
      <c r="I218" s="8"/>
      <c r="J218" s="8"/>
      <c r="K218" s="8"/>
      <c r="L218" s="8"/>
      <c r="M218" s="8"/>
      <c r="N218" s="3"/>
      <c r="O218" s="3"/>
      <c r="P218" s="3"/>
      <c r="Q218" s="3"/>
      <c r="R218" s="3"/>
      <c r="S218" s="3"/>
      <c r="T218" s="3"/>
      <c r="U218" s="3"/>
      <c r="V218" s="3"/>
      <c r="W218" s="3"/>
      <c r="X218" s="3"/>
      <c r="Y218" s="3"/>
      <c r="Z218" s="3"/>
    </row>
    <row r="219" spans="1:26" ht="15.75" customHeight="1">
      <c r="A219" s="8"/>
      <c r="B219" s="8"/>
      <c r="C219" s="8"/>
      <c r="D219" s="8"/>
      <c r="E219" s="8"/>
      <c r="F219" s="8"/>
      <c r="G219" s="8"/>
      <c r="H219" s="3"/>
      <c r="I219" s="8"/>
      <c r="J219" s="8"/>
      <c r="K219" s="8"/>
      <c r="L219" s="8"/>
      <c r="M219" s="8"/>
      <c r="N219" s="3"/>
      <c r="O219" s="3"/>
      <c r="P219" s="3"/>
      <c r="Q219" s="3"/>
      <c r="R219" s="3"/>
      <c r="S219" s="3"/>
      <c r="T219" s="3"/>
      <c r="U219" s="3"/>
      <c r="V219" s="3"/>
      <c r="W219" s="3"/>
      <c r="X219" s="3"/>
      <c r="Y219" s="3"/>
      <c r="Z219" s="3"/>
    </row>
    <row r="220" spans="1:26" ht="15.75" customHeight="1">
      <c r="A220" s="8"/>
      <c r="B220" s="8"/>
      <c r="C220" s="8"/>
      <c r="D220" s="8"/>
      <c r="E220" s="8"/>
      <c r="F220" s="8"/>
      <c r="G220" s="8"/>
      <c r="H220" s="3"/>
      <c r="I220" s="8"/>
      <c r="J220" s="8"/>
      <c r="K220" s="8"/>
      <c r="L220" s="8"/>
      <c r="M220" s="8"/>
      <c r="N220" s="3"/>
      <c r="O220" s="3"/>
      <c r="P220" s="3"/>
      <c r="Q220" s="3"/>
      <c r="R220" s="3"/>
      <c r="S220" s="3"/>
      <c r="T220" s="3"/>
      <c r="U220" s="3"/>
      <c r="V220" s="3"/>
      <c r="W220" s="3"/>
      <c r="X220" s="3"/>
      <c r="Y220" s="3"/>
      <c r="Z220" s="3"/>
    </row>
    <row r="221" spans="1:26"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5.75" customHeight="1"/>
    <row r="249" spans="1:26" ht="15.75" customHeight="1"/>
    <row r="250" spans="1:26" ht="15.75" customHeight="1"/>
    <row r="251" spans="1:26" ht="15.75" customHeight="1"/>
    <row r="252" spans="1:26" ht="15.75" customHeight="1"/>
    <row r="253" spans="1:26" ht="15.75" customHeight="1"/>
    <row r="254" spans="1:26" ht="15.75" customHeight="1"/>
    <row r="255" spans="1:26" ht="15.75" customHeight="1"/>
    <row r="256" spans="1:2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 right="0" top="0" bottom="0"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F168"/>
  <sheetViews>
    <sheetView tabSelected="1" workbookViewId="0">
      <pane xSplit="1" ySplit="1" topLeftCell="B154" activePane="bottomRight" state="frozen"/>
      <selection pane="bottomRight" activeCell="J160" sqref="J160"/>
      <selection pane="bottomLeft" activeCell="A2" sqref="A2"/>
      <selection pane="topRight" activeCell="B1" sqref="B1"/>
    </sheetView>
  </sheetViews>
  <sheetFormatPr defaultColWidth="12.5703125" defaultRowHeight="15" customHeight="1"/>
  <cols>
    <col min="1" max="1" width="13.5703125" bestFit="1" customWidth="1"/>
    <col min="2" max="2" width="16.85546875" customWidth="1"/>
    <col min="3" max="3" width="24.7109375" customWidth="1"/>
    <col min="6" max="6" width="15.140625" customWidth="1"/>
    <col min="7" max="7" width="13.42578125" style="54" bestFit="1" customWidth="1"/>
    <col min="8" max="8" width="19.7109375" customWidth="1"/>
    <col min="9" max="9" width="14.28515625" customWidth="1"/>
    <col min="10" max="11" width="27.5703125" customWidth="1"/>
    <col min="12" max="12" width="21.85546875" customWidth="1"/>
    <col min="13" max="13" width="14.85546875" style="50" bestFit="1" customWidth="1"/>
    <col min="14" max="14" width="20.140625" customWidth="1"/>
    <col min="15" max="15" width="19.85546875" customWidth="1"/>
    <col min="16" max="16" width="15.42578125" style="45" customWidth="1"/>
    <col min="17" max="17" width="14.85546875" style="50" bestFit="1" customWidth="1"/>
    <col min="18" max="18" width="14.85546875" style="45" bestFit="1" customWidth="1"/>
    <col min="19" max="22" width="14.85546875" bestFit="1" customWidth="1"/>
    <col min="23" max="23" width="16.42578125" customWidth="1"/>
    <col min="24" max="24" width="14.85546875" bestFit="1" customWidth="1"/>
    <col min="25" max="25" width="21.42578125" customWidth="1"/>
    <col min="26" max="26" width="12.28515625" customWidth="1"/>
    <col min="27" max="27" width="30.5703125" style="27" customWidth="1"/>
    <col min="28" max="28" width="20" customWidth="1"/>
    <col min="30" max="32" width="14.85546875" bestFit="1" customWidth="1"/>
  </cols>
  <sheetData>
    <row r="1" spans="1:32" ht="40.5">
      <c r="A1" s="10" t="s">
        <v>174</v>
      </c>
      <c r="B1" s="11" t="s">
        <v>175</v>
      </c>
      <c r="C1" s="12" t="s">
        <v>176</v>
      </c>
      <c r="D1" s="12" t="s">
        <v>177</v>
      </c>
      <c r="E1" s="12" t="s">
        <v>178</v>
      </c>
      <c r="F1" s="12" t="s">
        <v>179</v>
      </c>
      <c r="G1" s="13" t="s">
        <v>180</v>
      </c>
      <c r="H1" s="14" t="s">
        <v>6</v>
      </c>
      <c r="I1" s="14" t="s">
        <v>181</v>
      </c>
      <c r="J1" s="13" t="s">
        <v>182</v>
      </c>
      <c r="K1" s="12" t="s">
        <v>183</v>
      </c>
      <c r="L1" s="12" t="s">
        <v>12</v>
      </c>
      <c r="M1" s="47" t="s">
        <v>184</v>
      </c>
      <c r="N1" s="15" t="s">
        <v>185</v>
      </c>
      <c r="O1" s="28" t="s">
        <v>14</v>
      </c>
      <c r="P1" s="43" t="s">
        <v>186</v>
      </c>
      <c r="Q1" s="47" t="s">
        <v>187</v>
      </c>
      <c r="R1" s="43" t="s">
        <v>188</v>
      </c>
      <c r="S1" s="12" t="s">
        <v>189</v>
      </c>
      <c r="T1" s="12" t="s">
        <v>190</v>
      </c>
      <c r="U1" s="12" t="s">
        <v>191</v>
      </c>
      <c r="V1" s="12" t="s">
        <v>192</v>
      </c>
      <c r="W1" s="12" t="s">
        <v>193</v>
      </c>
      <c r="X1" s="16" t="s">
        <v>194</v>
      </c>
      <c r="Y1" s="12" t="s">
        <v>1</v>
      </c>
      <c r="Z1" s="12" t="s">
        <v>195</v>
      </c>
      <c r="AA1" s="12" t="s">
        <v>196</v>
      </c>
      <c r="AB1" s="12" t="s">
        <v>197</v>
      </c>
      <c r="AC1" s="13" t="s">
        <v>2</v>
      </c>
      <c r="AD1" s="16" t="s">
        <v>198</v>
      </c>
      <c r="AE1" s="17" t="s">
        <v>199</v>
      </c>
      <c r="AF1" s="35" t="s">
        <v>200</v>
      </c>
    </row>
    <row r="2" spans="1:32" ht="107.25" customHeight="1">
      <c r="A2" s="18" t="s">
        <v>201</v>
      </c>
      <c r="B2" s="38">
        <v>46082</v>
      </c>
      <c r="C2" s="19" t="s">
        <v>173</v>
      </c>
      <c r="D2" s="52" t="s">
        <v>38</v>
      </c>
      <c r="E2" s="52" t="s">
        <v>38</v>
      </c>
      <c r="F2" s="53" t="s">
        <v>38</v>
      </c>
      <c r="G2" s="58" t="s">
        <v>38</v>
      </c>
      <c r="H2" s="19" t="s">
        <v>98</v>
      </c>
      <c r="I2" s="19" t="s">
        <v>202</v>
      </c>
      <c r="J2" s="20" t="s">
        <v>203</v>
      </c>
      <c r="K2" s="20" t="s">
        <v>204</v>
      </c>
      <c r="L2" s="19" t="s">
        <v>26</v>
      </c>
      <c r="M2" s="38">
        <v>46082</v>
      </c>
      <c r="N2" s="21" t="s">
        <v>78</v>
      </c>
      <c r="O2" s="21" t="s">
        <v>28</v>
      </c>
      <c r="P2" s="44">
        <f t="shared" ref="P2:P64" si="0">M2-B2</f>
        <v>0</v>
      </c>
      <c r="Q2" s="38">
        <v>46082</v>
      </c>
      <c r="R2" s="46">
        <f t="shared" ref="R2:R64" ca="1" si="1">IF(Q2-B2&lt;0,NOW()-B2,Q2-B2)</f>
        <v>0</v>
      </c>
      <c r="S2" s="19" t="s">
        <v>37</v>
      </c>
      <c r="T2" s="19" t="s">
        <v>38</v>
      </c>
      <c r="U2" s="22" t="str">
        <f ca="1">IF(R2=GENERALIDADES!$I$1,#REF!,"0")</f>
        <v>0</v>
      </c>
      <c r="V2" s="23" t="s">
        <v>39</v>
      </c>
      <c r="W2" s="23" t="s">
        <v>38</v>
      </c>
      <c r="X2" s="22" t="str">
        <f ca="1">IF(U2=GENERALIDADES!$K$3,T2,"0")</f>
        <v>0</v>
      </c>
      <c r="Y2" s="19" t="s">
        <v>116</v>
      </c>
      <c r="Z2" s="19" t="s">
        <v>39</v>
      </c>
      <c r="AA2" s="20"/>
      <c r="AB2" s="19"/>
      <c r="AC2" s="21" t="s">
        <v>32</v>
      </c>
      <c r="AD2" s="22">
        <f t="shared" ref="AD2" si="2">M2-B2</f>
        <v>0</v>
      </c>
      <c r="AE2" s="24">
        <f t="shared" ref="AE2" si="3">NETWORKDAYS(B2,Q2,)</f>
        <v>0</v>
      </c>
      <c r="AF2" s="36" t="b">
        <f t="shared" ref="AF2" si="4">IF(AND((NETWORKDAYS(B2,M2,)&lt;=3),(NOT(ISBLANK(B2)))),TRUE(), FALSE())</f>
        <v>1</v>
      </c>
    </row>
    <row r="3" spans="1:32" ht="45.75">
      <c r="A3" s="37" t="s">
        <v>205</v>
      </c>
      <c r="B3" s="38">
        <v>46082</v>
      </c>
      <c r="C3" s="19" t="s">
        <v>111</v>
      </c>
      <c r="D3" s="52" t="s">
        <v>38</v>
      </c>
      <c r="E3" s="52" t="s">
        <v>38</v>
      </c>
      <c r="F3" s="53" t="s">
        <v>38</v>
      </c>
      <c r="G3" s="58" t="s">
        <v>38</v>
      </c>
      <c r="H3" s="39" t="s">
        <v>110</v>
      </c>
      <c r="I3" s="19"/>
      <c r="J3" s="20" t="s">
        <v>206</v>
      </c>
      <c r="K3" s="40" t="s">
        <v>207</v>
      </c>
      <c r="L3" s="39" t="s">
        <v>26</v>
      </c>
      <c r="M3" s="38">
        <v>46082</v>
      </c>
      <c r="N3" s="41" t="s">
        <v>78</v>
      </c>
      <c r="O3" s="41" t="s">
        <v>28</v>
      </c>
      <c r="P3" s="44">
        <f t="shared" si="0"/>
        <v>0</v>
      </c>
      <c r="Q3" s="38">
        <v>46082</v>
      </c>
      <c r="R3" s="46">
        <f t="shared" ca="1" si="1"/>
        <v>0</v>
      </c>
      <c r="S3" s="39" t="s">
        <v>37</v>
      </c>
      <c r="T3" s="39" t="s">
        <v>38</v>
      </c>
      <c r="U3" s="22" t="str">
        <f ca="1">IF(R3=GENERALIDADES!$I$1,#REF!,"0")</f>
        <v>0</v>
      </c>
      <c r="V3" s="42" t="s">
        <v>39</v>
      </c>
      <c r="W3" s="42" t="s">
        <v>38</v>
      </c>
      <c r="X3" s="22" t="str">
        <f ca="1">IF(U3=GENERALIDADES!$K$3,T3,"0")</f>
        <v>0</v>
      </c>
      <c r="Y3" s="39" t="s">
        <v>112</v>
      </c>
      <c r="Z3" s="39" t="s">
        <v>39</v>
      </c>
      <c r="AA3" s="40"/>
      <c r="AB3" s="39"/>
      <c r="AC3" s="41" t="s">
        <v>32</v>
      </c>
      <c r="AD3" s="22">
        <f t="shared" ref="AD3:AD65" si="5">M3-B3</f>
        <v>0</v>
      </c>
      <c r="AE3" s="24">
        <f t="shared" ref="AE3:AE65" si="6">NETWORKDAYS(B3,Q3,)</f>
        <v>0</v>
      </c>
      <c r="AF3" s="36" t="b">
        <f t="shared" ref="AF3:AF65" si="7">IF(AND((NETWORKDAYS(B3,M3,)&lt;=3),(NOT(ISBLANK(B3)))),TRUE(), FALSE())</f>
        <v>1</v>
      </c>
    </row>
    <row r="4" spans="1:32" ht="62.25">
      <c r="A4" s="37" t="s">
        <v>208</v>
      </c>
      <c r="B4" s="38">
        <v>46082</v>
      </c>
      <c r="C4" s="39" t="s">
        <v>122</v>
      </c>
      <c r="D4" s="52" t="s">
        <v>209</v>
      </c>
      <c r="E4" s="52" t="s">
        <v>210</v>
      </c>
      <c r="F4" s="53">
        <v>15731020290033</v>
      </c>
      <c r="G4" s="58" t="s">
        <v>211</v>
      </c>
      <c r="H4" s="39" t="s">
        <v>114</v>
      </c>
      <c r="I4" s="39"/>
      <c r="J4" s="40" t="s">
        <v>212</v>
      </c>
      <c r="K4" s="40" t="s">
        <v>213</v>
      </c>
      <c r="L4" s="39" t="s">
        <v>26</v>
      </c>
      <c r="M4" s="49">
        <v>46083</v>
      </c>
      <c r="N4" s="41" t="s">
        <v>78</v>
      </c>
      <c r="O4" s="41" t="s">
        <v>28</v>
      </c>
      <c r="P4" s="44">
        <f t="shared" si="0"/>
        <v>1</v>
      </c>
      <c r="Q4" s="49">
        <v>46083</v>
      </c>
      <c r="R4" s="46">
        <f t="shared" ca="1" si="1"/>
        <v>1</v>
      </c>
      <c r="S4" s="39" t="s">
        <v>37</v>
      </c>
      <c r="T4" s="39" t="s">
        <v>38</v>
      </c>
      <c r="U4" s="22" t="str">
        <f ca="1">IF(R4=GENERALIDADES!$I$1,#REF!,"0")</f>
        <v>0</v>
      </c>
      <c r="V4" s="42" t="s">
        <v>39</v>
      </c>
      <c r="W4" s="42" t="s">
        <v>38</v>
      </c>
      <c r="X4" s="22" t="str">
        <f ca="1">IF(U4=GENERALIDADES!$K$3,T4,"0")</f>
        <v>0</v>
      </c>
      <c r="Y4" s="39" t="s">
        <v>108</v>
      </c>
      <c r="Z4" s="39" t="s">
        <v>39</v>
      </c>
      <c r="AA4" s="40"/>
      <c r="AB4" s="39"/>
      <c r="AC4" s="41" t="s">
        <v>32</v>
      </c>
      <c r="AD4" s="22">
        <f t="shared" si="5"/>
        <v>1</v>
      </c>
      <c r="AE4" s="24">
        <f t="shared" si="6"/>
        <v>1</v>
      </c>
      <c r="AF4" s="36" t="b">
        <f t="shared" si="7"/>
        <v>1</v>
      </c>
    </row>
    <row r="5" spans="1:32" ht="37.5">
      <c r="A5" s="37" t="s">
        <v>214</v>
      </c>
      <c r="B5" s="38">
        <v>46082</v>
      </c>
      <c r="C5" s="39" t="s">
        <v>124</v>
      </c>
      <c r="D5" s="52" t="s">
        <v>38</v>
      </c>
      <c r="E5" s="52" t="s">
        <v>38</v>
      </c>
      <c r="F5" s="53" t="s">
        <v>38</v>
      </c>
      <c r="G5" s="58" t="s">
        <v>38</v>
      </c>
      <c r="H5" s="39" t="s">
        <v>110</v>
      </c>
      <c r="I5" s="39"/>
      <c r="J5" s="40" t="s">
        <v>215</v>
      </c>
      <c r="K5" s="40" t="s">
        <v>216</v>
      </c>
      <c r="L5" s="39" t="s">
        <v>26</v>
      </c>
      <c r="M5" s="38">
        <v>46082</v>
      </c>
      <c r="N5" s="41" t="s">
        <v>78</v>
      </c>
      <c r="O5" s="41" t="s">
        <v>28</v>
      </c>
      <c r="P5" s="44">
        <f t="shared" si="0"/>
        <v>0</v>
      </c>
      <c r="Q5" s="38">
        <v>46082</v>
      </c>
      <c r="R5" s="46">
        <f t="shared" ca="1" si="1"/>
        <v>0</v>
      </c>
      <c r="S5" s="39" t="s">
        <v>37</v>
      </c>
      <c r="T5" s="39" t="s">
        <v>38</v>
      </c>
      <c r="U5" s="22" t="str">
        <f ca="1">IF(R5=GENERALIDADES!$I$1,#REF!,"0")</f>
        <v>0</v>
      </c>
      <c r="V5" s="42" t="s">
        <v>39</v>
      </c>
      <c r="W5" s="42" t="s">
        <v>38</v>
      </c>
      <c r="X5" s="22" t="str">
        <f ca="1">IF(U5=GENERALIDADES!$K$3,T5,"0")</f>
        <v>0</v>
      </c>
      <c r="Y5" s="39" t="s">
        <v>112</v>
      </c>
      <c r="Z5" s="39" t="s">
        <v>39</v>
      </c>
      <c r="AA5" s="40"/>
      <c r="AB5" s="39"/>
      <c r="AC5" s="41" t="s">
        <v>32</v>
      </c>
      <c r="AD5" s="22">
        <f t="shared" si="5"/>
        <v>0</v>
      </c>
      <c r="AE5" s="24">
        <f t="shared" si="6"/>
        <v>0</v>
      </c>
      <c r="AF5" s="36" t="b">
        <f t="shared" si="7"/>
        <v>1</v>
      </c>
    </row>
    <row r="6" spans="1:32" ht="37.5">
      <c r="A6" s="37" t="s">
        <v>217</v>
      </c>
      <c r="B6" s="38">
        <v>46082</v>
      </c>
      <c r="C6" s="39" t="s">
        <v>70</v>
      </c>
      <c r="D6" s="52" t="s">
        <v>38</v>
      </c>
      <c r="E6" s="52" t="s">
        <v>38</v>
      </c>
      <c r="F6" s="53" t="s">
        <v>38</v>
      </c>
      <c r="G6" s="58" t="s">
        <v>38</v>
      </c>
      <c r="H6" s="39" t="s">
        <v>114</v>
      </c>
      <c r="I6" s="39"/>
      <c r="J6" s="40" t="s">
        <v>218</v>
      </c>
      <c r="K6" s="40" t="s">
        <v>219</v>
      </c>
      <c r="L6" s="39" t="s">
        <v>26</v>
      </c>
      <c r="M6" s="38">
        <v>46082</v>
      </c>
      <c r="N6" s="41" t="s">
        <v>78</v>
      </c>
      <c r="O6" s="41" t="s">
        <v>28</v>
      </c>
      <c r="P6" s="44">
        <f t="shared" si="0"/>
        <v>0</v>
      </c>
      <c r="Q6" s="38">
        <v>46082</v>
      </c>
      <c r="R6" s="46">
        <f t="shared" ca="1" si="1"/>
        <v>0</v>
      </c>
      <c r="S6" s="39" t="s">
        <v>37</v>
      </c>
      <c r="T6" s="39" t="s">
        <v>38</v>
      </c>
      <c r="U6" s="22" t="str">
        <f ca="1">IF(R6=GENERALIDADES!$I$1,#REF!,"0")</f>
        <v>0</v>
      </c>
      <c r="V6" s="42" t="s">
        <v>39</v>
      </c>
      <c r="W6" s="42" t="s">
        <v>220</v>
      </c>
      <c r="X6" s="22" t="str">
        <f ca="1">IF(U6=GENERALIDADES!$K$3,T6,"0")</f>
        <v>0</v>
      </c>
      <c r="Y6" s="39" t="s">
        <v>31</v>
      </c>
      <c r="Z6" s="39" t="s">
        <v>39</v>
      </c>
      <c r="AA6" s="40"/>
      <c r="AB6" s="39"/>
      <c r="AC6" s="41" t="s">
        <v>32</v>
      </c>
      <c r="AD6" s="22">
        <f t="shared" si="5"/>
        <v>0</v>
      </c>
      <c r="AE6" s="24">
        <f t="shared" si="6"/>
        <v>0</v>
      </c>
      <c r="AF6" s="36" t="b">
        <f t="shared" si="7"/>
        <v>1</v>
      </c>
    </row>
    <row r="7" spans="1:32" ht="37.5">
      <c r="A7" s="37" t="s">
        <v>221</v>
      </c>
      <c r="B7" s="38">
        <v>46083</v>
      </c>
      <c r="C7" s="39" t="s">
        <v>70</v>
      </c>
      <c r="D7" s="52" t="s">
        <v>222</v>
      </c>
      <c r="E7" s="52" t="s">
        <v>223</v>
      </c>
      <c r="F7" s="53" t="s">
        <v>224</v>
      </c>
      <c r="G7" s="58">
        <v>545370</v>
      </c>
      <c r="H7" s="39" t="s">
        <v>129</v>
      </c>
      <c r="I7" s="39"/>
      <c r="J7" s="40" t="s">
        <v>225</v>
      </c>
      <c r="K7" s="40" t="s">
        <v>219</v>
      </c>
      <c r="L7" s="39" t="s">
        <v>26</v>
      </c>
      <c r="M7" s="38">
        <v>46083</v>
      </c>
      <c r="N7" s="41" t="s">
        <v>78</v>
      </c>
      <c r="O7" s="41" t="s">
        <v>28</v>
      </c>
      <c r="P7" s="44">
        <f t="shared" ref="P7" si="8">M7-B7</f>
        <v>0</v>
      </c>
      <c r="Q7" s="38">
        <v>46082</v>
      </c>
      <c r="R7" s="46">
        <f t="shared" ref="R7" ca="1" si="9">IF(Q7-B7&lt;0,NOW()-B7,Q7-B7)</f>
        <v>31.649708101853321</v>
      </c>
      <c r="S7" s="39" t="s">
        <v>37</v>
      </c>
      <c r="T7" s="39" t="s">
        <v>38</v>
      </c>
      <c r="U7" s="22" t="str">
        <f ca="1">IF(R7=GENERALIDADES!$I$1,#REF!,"0")</f>
        <v>0</v>
      </c>
      <c r="V7" s="42" t="s">
        <v>39</v>
      </c>
      <c r="W7" s="42" t="s">
        <v>220</v>
      </c>
      <c r="X7" s="22" t="str">
        <f ca="1">IF(U7=GENERALIDADES!$K$3,T7,"0")</f>
        <v>0</v>
      </c>
      <c r="Y7" s="39" t="s">
        <v>31</v>
      </c>
      <c r="Z7" s="39" t="s">
        <v>39</v>
      </c>
      <c r="AA7" s="40"/>
      <c r="AB7" s="39"/>
      <c r="AC7" s="41" t="s">
        <v>32</v>
      </c>
      <c r="AD7" s="22">
        <f t="shared" si="5"/>
        <v>0</v>
      </c>
      <c r="AE7" s="24">
        <f t="shared" si="6"/>
        <v>-1</v>
      </c>
      <c r="AF7" s="36" t="b">
        <f t="shared" si="7"/>
        <v>1</v>
      </c>
    </row>
    <row r="8" spans="1:32" ht="50.25">
      <c r="A8" s="37" t="s">
        <v>226</v>
      </c>
      <c r="B8" s="38">
        <v>46083</v>
      </c>
      <c r="C8" s="39" t="s">
        <v>70</v>
      </c>
      <c r="D8" s="52" t="s">
        <v>222</v>
      </c>
      <c r="E8" s="52" t="s">
        <v>223</v>
      </c>
      <c r="F8" s="53" t="s">
        <v>224</v>
      </c>
      <c r="G8" s="58">
        <v>545370</v>
      </c>
      <c r="H8" s="39" t="s">
        <v>129</v>
      </c>
      <c r="I8" s="39"/>
      <c r="J8" s="40" t="s">
        <v>227</v>
      </c>
      <c r="K8" s="40" t="s">
        <v>228</v>
      </c>
      <c r="L8" s="39" t="s">
        <v>26</v>
      </c>
      <c r="M8" s="49">
        <v>46083</v>
      </c>
      <c r="N8" s="41" t="s">
        <v>58</v>
      </c>
      <c r="O8" s="41" t="s">
        <v>42</v>
      </c>
      <c r="P8" s="44">
        <f t="shared" si="0"/>
        <v>0</v>
      </c>
      <c r="Q8" s="49">
        <v>46083</v>
      </c>
      <c r="R8" s="46">
        <f t="shared" ca="1" si="1"/>
        <v>0</v>
      </c>
      <c r="S8" s="39" t="s">
        <v>37</v>
      </c>
      <c r="T8" s="39" t="s">
        <v>38</v>
      </c>
      <c r="U8" s="22" t="str">
        <f ca="1">IF(R8=GENERALIDADES!$I$1,#REF!,"0")</f>
        <v>0</v>
      </c>
      <c r="V8" s="42" t="s">
        <v>39</v>
      </c>
      <c r="W8" s="42" t="s">
        <v>38</v>
      </c>
      <c r="X8" s="22" t="str">
        <f ca="1">IF(U8=GENERALIDADES!$K$3,T8,"0")</f>
        <v>0</v>
      </c>
      <c r="Y8" s="39" t="s">
        <v>31</v>
      </c>
      <c r="Z8" s="39" t="s">
        <v>39</v>
      </c>
      <c r="AA8" s="40"/>
      <c r="AB8" s="39"/>
      <c r="AC8" s="41" t="s">
        <v>67</v>
      </c>
      <c r="AD8" s="22">
        <f t="shared" si="5"/>
        <v>0</v>
      </c>
      <c r="AE8" s="24">
        <f t="shared" si="6"/>
        <v>1</v>
      </c>
      <c r="AF8" s="36" t="b">
        <f t="shared" si="7"/>
        <v>1</v>
      </c>
    </row>
    <row r="9" spans="1:32" ht="50.25">
      <c r="A9" s="37" t="s">
        <v>229</v>
      </c>
      <c r="B9" s="38">
        <v>46083</v>
      </c>
      <c r="C9" s="39" t="s">
        <v>160</v>
      </c>
      <c r="D9" s="52" t="s">
        <v>38</v>
      </c>
      <c r="E9" s="52" t="s">
        <v>38</v>
      </c>
      <c r="F9" s="53" t="s">
        <v>38</v>
      </c>
      <c r="G9" s="58" t="s">
        <v>38</v>
      </c>
      <c r="H9" s="39" t="s">
        <v>153</v>
      </c>
      <c r="I9" s="39"/>
      <c r="J9" s="40" t="s">
        <v>230</v>
      </c>
      <c r="K9" s="40" t="s">
        <v>231</v>
      </c>
      <c r="L9" s="39" t="s">
        <v>26</v>
      </c>
      <c r="M9" s="38">
        <v>46083</v>
      </c>
      <c r="N9" s="41" t="s">
        <v>78</v>
      </c>
      <c r="O9" s="41" t="s">
        <v>28</v>
      </c>
      <c r="P9" s="44">
        <f t="shared" si="0"/>
        <v>0</v>
      </c>
      <c r="Q9" s="38">
        <v>46083</v>
      </c>
      <c r="R9" s="46">
        <f t="shared" ca="1" si="1"/>
        <v>0</v>
      </c>
      <c r="S9" s="39" t="s">
        <v>37</v>
      </c>
      <c r="T9" s="39" t="s">
        <v>38</v>
      </c>
      <c r="U9" s="22" t="str">
        <f ca="1">IF(R9=GENERALIDADES!$I$1,#REF!,"0")</f>
        <v>0</v>
      </c>
      <c r="V9" s="42" t="s">
        <v>39</v>
      </c>
      <c r="W9" s="42" t="s">
        <v>38</v>
      </c>
      <c r="X9" s="22" t="str">
        <f ca="1">IF(U9=GENERALIDADES!$K$3,T9,"0")</f>
        <v>0</v>
      </c>
      <c r="Y9" s="39" t="s">
        <v>52</v>
      </c>
      <c r="Z9" s="39" t="s">
        <v>39</v>
      </c>
      <c r="AA9" s="40"/>
      <c r="AB9" s="39"/>
      <c r="AC9" s="41" t="s">
        <v>32</v>
      </c>
      <c r="AD9" s="22">
        <f t="shared" si="5"/>
        <v>0</v>
      </c>
      <c r="AE9" s="24">
        <f t="shared" si="6"/>
        <v>1</v>
      </c>
      <c r="AF9" s="36" t="b">
        <f t="shared" si="7"/>
        <v>1</v>
      </c>
    </row>
    <row r="10" spans="1:32" ht="62.25">
      <c r="A10" s="37" t="s">
        <v>232</v>
      </c>
      <c r="B10" s="38">
        <v>46083</v>
      </c>
      <c r="C10" s="39" t="s">
        <v>56</v>
      </c>
      <c r="D10" s="52" t="s">
        <v>38</v>
      </c>
      <c r="E10" s="52" t="s">
        <v>38</v>
      </c>
      <c r="F10" s="53" t="s">
        <v>38</v>
      </c>
      <c r="G10" s="58" t="s">
        <v>38</v>
      </c>
      <c r="H10" s="39" t="s">
        <v>141</v>
      </c>
      <c r="I10" s="39"/>
      <c r="J10" s="40" t="s">
        <v>233</v>
      </c>
      <c r="K10" s="40" t="s">
        <v>234</v>
      </c>
      <c r="L10" s="39" t="s">
        <v>49</v>
      </c>
      <c r="M10" s="49">
        <v>46083</v>
      </c>
      <c r="N10" s="41" t="s">
        <v>78</v>
      </c>
      <c r="O10" s="41" t="s">
        <v>28</v>
      </c>
      <c r="P10" s="44">
        <f t="shared" si="0"/>
        <v>0</v>
      </c>
      <c r="Q10" s="49">
        <v>46083</v>
      </c>
      <c r="R10" s="46">
        <f t="shared" ca="1" si="1"/>
        <v>0</v>
      </c>
      <c r="S10" s="39" t="s">
        <v>37</v>
      </c>
      <c r="T10" s="39" t="s">
        <v>38</v>
      </c>
      <c r="U10" s="22" t="str">
        <f ca="1">IF(R10=GENERALIDADES!$I$1,#REF!,"0")</f>
        <v>0</v>
      </c>
      <c r="V10" s="42" t="s">
        <v>39</v>
      </c>
      <c r="W10" s="42" t="s">
        <v>38</v>
      </c>
      <c r="X10" s="22" t="str">
        <f ca="1">IF(U10=GENERALIDADES!$K$3,T10,"0")</f>
        <v>0</v>
      </c>
      <c r="Y10" s="39" t="s">
        <v>116</v>
      </c>
      <c r="Z10" s="39" t="s">
        <v>39</v>
      </c>
      <c r="AA10" s="40"/>
      <c r="AB10" s="39"/>
      <c r="AC10" s="41" t="s">
        <v>32</v>
      </c>
      <c r="AD10" s="22">
        <f t="shared" si="5"/>
        <v>0</v>
      </c>
      <c r="AE10" s="24">
        <f t="shared" si="6"/>
        <v>1</v>
      </c>
      <c r="AF10" s="36" t="b">
        <f t="shared" si="7"/>
        <v>1</v>
      </c>
    </row>
    <row r="11" spans="1:32" ht="75.75">
      <c r="A11" s="37" t="s">
        <v>235</v>
      </c>
      <c r="B11" s="38">
        <v>46083</v>
      </c>
      <c r="C11" s="39" t="s">
        <v>162</v>
      </c>
      <c r="D11" s="52" t="s">
        <v>236</v>
      </c>
      <c r="E11" s="52" t="s">
        <v>237</v>
      </c>
      <c r="F11" s="53" t="s">
        <v>238</v>
      </c>
      <c r="G11" s="58" t="s">
        <v>239</v>
      </c>
      <c r="H11" s="39" t="s">
        <v>151</v>
      </c>
      <c r="I11" s="39"/>
      <c r="J11" s="40" t="s">
        <v>240</v>
      </c>
      <c r="K11" s="40" t="s">
        <v>241</v>
      </c>
      <c r="L11" s="39" t="s">
        <v>26</v>
      </c>
      <c r="M11" s="49">
        <v>46083</v>
      </c>
      <c r="N11" s="41" t="s">
        <v>58</v>
      </c>
      <c r="O11" s="41" t="s">
        <v>42</v>
      </c>
      <c r="P11" s="44">
        <f t="shared" si="0"/>
        <v>0</v>
      </c>
      <c r="Q11" s="49">
        <v>46083</v>
      </c>
      <c r="R11" s="46">
        <f t="shared" ca="1" si="1"/>
        <v>0</v>
      </c>
      <c r="S11" s="39" t="s">
        <v>37</v>
      </c>
      <c r="T11" s="39" t="s">
        <v>38</v>
      </c>
      <c r="U11" s="22" t="str">
        <f ca="1">IF(R11=GENERALIDADES!$I$1,#REF!,"0")</f>
        <v>0</v>
      </c>
      <c r="V11" s="42" t="s">
        <v>39</v>
      </c>
      <c r="W11" s="42" t="s">
        <v>38</v>
      </c>
      <c r="X11" s="22" t="str">
        <f ca="1">IF(U11=GENERALIDADES!$K$3,T11,"0")</f>
        <v>0</v>
      </c>
      <c r="Y11" s="39" t="s">
        <v>52</v>
      </c>
      <c r="Z11" s="39" t="s">
        <v>39</v>
      </c>
      <c r="AA11" s="40"/>
      <c r="AB11" s="39"/>
      <c r="AC11" s="41" t="s">
        <v>67</v>
      </c>
      <c r="AD11" s="22">
        <f t="shared" si="5"/>
        <v>0</v>
      </c>
      <c r="AE11" s="24">
        <f t="shared" si="6"/>
        <v>1</v>
      </c>
      <c r="AF11" s="36" t="b">
        <f t="shared" si="7"/>
        <v>1</v>
      </c>
    </row>
    <row r="12" spans="1:32" ht="88.5">
      <c r="A12" s="37" t="s">
        <v>242</v>
      </c>
      <c r="B12" s="38">
        <v>46083</v>
      </c>
      <c r="C12" s="39" t="s">
        <v>115</v>
      </c>
      <c r="D12" s="52" t="s">
        <v>243</v>
      </c>
      <c r="E12" s="52" t="s">
        <v>244</v>
      </c>
      <c r="F12" s="53" t="s">
        <v>245</v>
      </c>
      <c r="G12" s="58">
        <v>572798</v>
      </c>
      <c r="H12" s="39" t="s">
        <v>153</v>
      </c>
      <c r="I12" s="39"/>
      <c r="J12" s="40" t="s">
        <v>246</v>
      </c>
      <c r="K12" s="40" t="s">
        <v>247</v>
      </c>
      <c r="L12" s="39" t="s">
        <v>26</v>
      </c>
      <c r="M12" s="49">
        <v>46084</v>
      </c>
      <c r="N12" s="41" t="s">
        <v>78</v>
      </c>
      <c r="O12" s="41" t="s">
        <v>28</v>
      </c>
      <c r="P12" s="44">
        <f t="shared" si="0"/>
        <v>1</v>
      </c>
      <c r="Q12" s="49">
        <v>46084</v>
      </c>
      <c r="R12" s="46">
        <f t="shared" ca="1" si="1"/>
        <v>1</v>
      </c>
      <c r="S12" s="39" t="s">
        <v>37</v>
      </c>
      <c r="T12" s="39" t="s">
        <v>38</v>
      </c>
      <c r="U12" s="22" t="str">
        <f ca="1">IF(R12=GENERALIDADES!$I$1,#REF!,"0")</f>
        <v>0</v>
      </c>
      <c r="V12" s="42" t="s">
        <v>39</v>
      </c>
      <c r="W12" s="42" t="s">
        <v>38</v>
      </c>
      <c r="X12" s="22" t="str">
        <f ca="1">IF(U12=GENERALIDADES!$K$3,T12,"0")</f>
        <v>0</v>
      </c>
      <c r="Y12" s="39" t="s">
        <v>116</v>
      </c>
      <c r="Z12" s="39" t="s">
        <v>39</v>
      </c>
      <c r="AA12" s="40"/>
      <c r="AB12" s="39"/>
      <c r="AC12" s="41" t="s">
        <v>32</v>
      </c>
      <c r="AD12" s="22">
        <f t="shared" si="5"/>
        <v>1</v>
      </c>
      <c r="AE12" s="24">
        <f t="shared" si="6"/>
        <v>2</v>
      </c>
      <c r="AF12" s="36" t="b">
        <f t="shared" si="7"/>
        <v>1</v>
      </c>
    </row>
    <row r="13" spans="1:32" ht="62.25">
      <c r="A13" s="37" t="s">
        <v>248</v>
      </c>
      <c r="B13" s="38">
        <v>46084</v>
      </c>
      <c r="C13" s="39" t="s">
        <v>118</v>
      </c>
      <c r="D13" s="52" t="s">
        <v>249</v>
      </c>
      <c r="E13" s="52" t="s">
        <v>250</v>
      </c>
      <c r="F13" s="53" t="s">
        <v>251</v>
      </c>
      <c r="G13" s="58">
        <v>505204</v>
      </c>
      <c r="H13" s="39" t="s">
        <v>35</v>
      </c>
      <c r="I13" s="39"/>
      <c r="J13" s="40" t="s">
        <v>252</v>
      </c>
      <c r="K13" s="40" t="s">
        <v>253</v>
      </c>
      <c r="L13" s="39" t="s">
        <v>71</v>
      </c>
      <c r="M13" s="49">
        <v>46084</v>
      </c>
      <c r="N13" s="41" t="s">
        <v>78</v>
      </c>
      <c r="O13" s="41" t="s">
        <v>28</v>
      </c>
      <c r="P13" s="44">
        <f t="shared" si="0"/>
        <v>0</v>
      </c>
      <c r="Q13" s="49">
        <v>46084</v>
      </c>
      <c r="R13" s="46">
        <f t="shared" ca="1" si="1"/>
        <v>0</v>
      </c>
      <c r="S13" s="39"/>
      <c r="T13" s="39"/>
      <c r="U13" s="22" t="str">
        <f ca="1">IF(R13=GENERALIDADES!$I$1,#REF!,"0")</f>
        <v>0</v>
      </c>
      <c r="V13" s="42"/>
      <c r="W13" s="42"/>
      <c r="X13" s="22" t="str">
        <f ca="1">IF(U13=GENERALIDADES!$K$3,T13,"0")</f>
        <v>0</v>
      </c>
      <c r="Y13" s="39"/>
      <c r="Z13" s="39"/>
      <c r="AA13" s="40"/>
      <c r="AB13" s="39"/>
      <c r="AC13" s="41"/>
      <c r="AD13" s="22">
        <f t="shared" si="5"/>
        <v>0</v>
      </c>
      <c r="AE13" s="24">
        <f t="shared" si="6"/>
        <v>1</v>
      </c>
      <c r="AF13" s="36" t="b">
        <f t="shared" si="7"/>
        <v>1</v>
      </c>
    </row>
    <row r="14" spans="1:32" ht="75.75">
      <c r="A14" s="37" t="s">
        <v>254</v>
      </c>
      <c r="B14" s="38">
        <v>46084</v>
      </c>
      <c r="C14" s="39" t="s">
        <v>70</v>
      </c>
      <c r="D14" s="52" t="s">
        <v>222</v>
      </c>
      <c r="E14" s="52" t="s">
        <v>223</v>
      </c>
      <c r="F14" s="53" t="s">
        <v>255</v>
      </c>
      <c r="G14" s="58">
        <v>545695</v>
      </c>
      <c r="H14" s="39" t="s">
        <v>98</v>
      </c>
      <c r="I14" s="39"/>
      <c r="J14" s="40" t="s">
        <v>256</v>
      </c>
      <c r="K14" s="40" t="s">
        <v>257</v>
      </c>
      <c r="L14" s="39" t="s">
        <v>26</v>
      </c>
      <c r="M14" s="49">
        <v>46084</v>
      </c>
      <c r="N14" s="41" t="s">
        <v>78</v>
      </c>
      <c r="O14" s="41" t="s">
        <v>28</v>
      </c>
      <c r="P14" s="44">
        <f t="shared" si="0"/>
        <v>0</v>
      </c>
      <c r="Q14" s="49">
        <v>46084</v>
      </c>
      <c r="R14" s="46">
        <f t="shared" ca="1" si="1"/>
        <v>0</v>
      </c>
      <c r="S14" s="39" t="s">
        <v>37</v>
      </c>
      <c r="T14" s="39" t="s">
        <v>38</v>
      </c>
      <c r="U14" s="22" t="str">
        <f ca="1">IF(R14=GENERALIDADES!$I$1,#REF!,"0")</f>
        <v>0</v>
      </c>
      <c r="V14" s="42" t="s">
        <v>39</v>
      </c>
      <c r="W14" s="42" t="s">
        <v>38</v>
      </c>
      <c r="X14" s="22" t="str">
        <f ca="1">IF(U14=GENERALIDADES!$K$3,T14,"0")</f>
        <v>0</v>
      </c>
      <c r="Y14" s="39" t="s">
        <v>116</v>
      </c>
      <c r="Z14" s="39" t="s">
        <v>39</v>
      </c>
      <c r="AA14" s="40"/>
      <c r="AB14" s="39"/>
      <c r="AC14" s="41" t="s">
        <v>32</v>
      </c>
      <c r="AD14" s="22">
        <f t="shared" si="5"/>
        <v>0</v>
      </c>
      <c r="AE14" s="24">
        <f t="shared" si="6"/>
        <v>1</v>
      </c>
      <c r="AF14" s="36" t="b">
        <f t="shared" si="7"/>
        <v>1</v>
      </c>
    </row>
    <row r="15" spans="1:32" ht="88.5">
      <c r="A15" s="37" t="s">
        <v>258</v>
      </c>
      <c r="B15" s="38">
        <v>46084</v>
      </c>
      <c r="C15" s="39" t="s">
        <v>122</v>
      </c>
      <c r="D15" s="52" t="s">
        <v>259</v>
      </c>
      <c r="E15" s="52" t="s">
        <v>260</v>
      </c>
      <c r="F15" s="53" t="s">
        <v>261</v>
      </c>
      <c r="G15" s="58" t="s">
        <v>262</v>
      </c>
      <c r="H15" s="39" t="s">
        <v>114</v>
      </c>
      <c r="I15" s="39"/>
      <c r="J15" s="40" t="s">
        <v>263</v>
      </c>
      <c r="K15" s="40" t="s">
        <v>264</v>
      </c>
      <c r="L15" s="39" t="s">
        <v>26</v>
      </c>
      <c r="M15" s="38">
        <v>46084</v>
      </c>
      <c r="N15" s="41" t="s">
        <v>78</v>
      </c>
      <c r="O15" s="41" t="s">
        <v>42</v>
      </c>
      <c r="P15" s="44">
        <f t="shared" si="0"/>
        <v>0</v>
      </c>
      <c r="Q15" s="38">
        <v>46084</v>
      </c>
      <c r="R15" s="46">
        <f t="shared" ca="1" si="1"/>
        <v>0</v>
      </c>
      <c r="S15" s="39" t="s">
        <v>37</v>
      </c>
      <c r="T15" s="39" t="s">
        <v>38</v>
      </c>
      <c r="U15" s="22" t="str">
        <f ca="1">IF(R15=GENERALIDADES!$I$1,#REF!,"0")</f>
        <v>0</v>
      </c>
      <c r="V15" s="42" t="s">
        <v>39</v>
      </c>
      <c r="W15" s="42" t="s">
        <v>38</v>
      </c>
      <c r="X15" s="22" t="str">
        <f ca="1">IF(U15=GENERALIDADES!$K$3,T15,"0")</f>
        <v>0</v>
      </c>
      <c r="Y15" s="39" t="s">
        <v>59</v>
      </c>
      <c r="Z15" s="39" t="s">
        <v>39</v>
      </c>
      <c r="AA15" s="40"/>
      <c r="AB15" s="39"/>
      <c r="AC15" s="41" t="s">
        <v>67</v>
      </c>
      <c r="AD15" s="22">
        <f t="shared" si="5"/>
        <v>0</v>
      </c>
      <c r="AE15" s="24">
        <f t="shared" si="6"/>
        <v>1</v>
      </c>
      <c r="AF15" s="36" t="b">
        <f t="shared" si="7"/>
        <v>1</v>
      </c>
    </row>
    <row r="16" spans="1:32" ht="62.25">
      <c r="A16" s="37" t="s">
        <v>265</v>
      </c>
      <c r="B16" s="38">
        <v>46084</v>
      </c>
      <c r="C16" s="39" t="s">
        <v>103</v>
      </c>
      <c r="D16" s="52" t="s">
        <v>266</v>
      </c>
      <c r="E16" s="52" t="s">
        <v>267</v>
      </c>
      <c r="F16" s="53">
        <v>136266</v>
      </c>
      <c r="G16" s="58">
        <v>548574</v>
      </c>
      <c r="H16" s="39" t="s">
        <v>76</v>
      </c>
      <c r="I16" s="39"/>
      <c r="J16" s="40" t="s">
        <v>268</v>
      </c>
      <c r="K16" s="40" t="s">
        <v>269</v>
      </c>
      <c r="L16" s="39" t="s">
        <v>26</v>
      </c>
      <c r="M16" s="49">
        <v>46087</v>
      </c>
      <c r="N16" s="41" t="s">
        <v>78</v>
      </c>
      <c r="O16" s="41" t="s">
        <v>28</v>
      </c>
      <c r="P16" s="44">
        <f t="shared" si="0"/>
        <v>3</v>
      </c>
      <c r="Q16" s="49">
        <v>46087</v>
      </c>
      <c r="R16" s="46">
        <f t="shared" ca="1" si="1"/>
        <v>3</v>
      </c>
      <c r="S16" s="39" t="s">
        <v>37</v>
      </c>
      <c r="T16" s="39" t="s">
        <v>38</v>
      </c>
      <c r="U16" s="22" t="str">
        <f ca="1">IF(R16=GENERALIDADES!$I$1,#REF!,"0")</f>
        <v>0</v>
      </c>
      <c r="V16" s="42" t="s">
        <v>39</v>
      </c>
      <c r="W16" s="42" t="s">
        <v>38</v>
      </c>
      <c r="X16" s="22" t="str">
        <f ca="1">IF(U16=GENERALIDADES!$K$3,T16,"0")</f>
        <v>0</v>
      </c>
      <c r="Y16" s="39" t="s">
        <v>116</v>
      </c>
      <c r="Z16" s="39" t="s">
        <v>39</v>
      </c>
      <c r="AA16" s="40"/>
      <c r="AB16" s="39"/>
      <c r="AC16" s="41" t="s">
        <v>32</v>
      </c>
      <c r="AD16" s="22">
        <f t="shared" si="5"/>
        <v>3</v>
      </c>
      <c r="AE16" s="24">
        <f t="shared" si="6"/>
        <v>4</v>
      </c>
      <c r="AF16" s="36" t="b">
        <f t="shared" si="7"/>
        <v>0</v>
      </c>
    </row>
    <row r="17" spans="1:32" ht="75.75">
      <c r="A17" s="37" t="s">
        <v>270</v>
      </c>
      <c r="B17" s="38">
        <v>46084</v>
      </c>
      <c r="C17" s="39" t="s">
        <v>70</v>
      </c>
      <c r="D17" s="52" t="s">
        <v>222</v>
      </c>
      <c r="E17" s="52" t="s">
        <v>271</v>
      </c>
      <c r="F17" s="53" t="s">
        <v>272</v>
      </c>
      <c r="G17" s="58">
        <v>550042</v>
      </c>
      <c r="H17" s="39" t="s">
        <v>98</v>
      </c>
      <c r="I17" s="39" t="s">
        <v>202</v>
      </c>
      <c r="J17" s="40" t="s">
        <v>273</v>
      </c>
      <c r="K17" s="40" t="s">
        <v>274</v>
      </c>
      <c r="L17" s="39" t="s">
        <v>26</v>
      </c>
      <c r="M17" s="49">
        <v>46084</v>
      </c>
      <c r="N17" s="41" t="s">
        <v>78</v>
      </c>
      <c r="O17" s="41" t="s">
        <v>28</v>
      </c>
      <c r="P17" s="44">
        <f t="shared" si="0"/>
        <v>0</v>
      </c>
      <c r="Q17" s="49">
        <v>46084</v>
      </c>
      <c r="R17" s="46">
        <f t="shared" ca="1" si="1"/>
        <v>0</v>
      </c>
      <c r="S17" s="39" t="s">
        <v>37</v>
      </c>
      <c r="T17" s="39" t="s">
        <v>38</v>
      </c>
      <c r="U17" s="22" t="str">
        <f ca="1">IF(R17=GENERALIDADES!$I$1,#REF!,"0")</f>
        <v>0</v>
      </c>
      <c r="V17" s="42" t="s">
        <v>39</v>
      </c>
      <c r="W17" s="42" t="s">
        <v>38</v>
      </c>
      <c r="X17" s="22" t="str">
        <f ca="1">IF(U17=GENERALIDADES!$K$3,T17,"0")</f>
        <v>0</v>
      </c>
      <c r="Y17" s="39" t="s">
        <v>59</v>
      </c>
      <c r="Z17" s="39" t="s">
        <v>29</v>
      </c>
      <c r="AA17" s="40" t="s">
        <v>275</v>
      </c>
      <c r="AB17" s="39"/>
      <c r="AC17" s="41" t="s">
        <v>32</v>
      </c>
      <c r="AD17" s="22">
        <f t="shared" si="5"/>
        <v>0</v>
      </c>
      <c r="AE17" s="24">
        <f t="shared" si="6"/>
        <v>1</v>
      </c>
      <c r="AF17" s="36" t="b">
        <f t="shared" si="7"/>
        <v>1</v>
      </c>
    </row>
    <row r="18" spans="1:32" ht="75.75">
      <c r="A18" s="37" t="s">
        <v>276</v>
      </c>
      <c r="B18" s="38">
        <v>46084</v>
      </c>
      <c r="C18" s="39" t="s">
        <v>70</v>
      </c>
      <c r="D18" s="52" t="s">
        <v>222</v>
      </c>
      <c r="E18" s="52" t="s">
        <v>223</v>
      </c>
      <c r="F18" s="53" t="s">
        <v>277</v>
      </c>
      <c r="G18" s="58">
        <v>545690</v>
      </c>
      <c r="H18" s="39" t="s">
        <v>143</v>
      </c>
      <c r="I18" s="39"/>
      <c r="J18" s="40" t="s">
        <v>278</v>
      </c>
      <c r="K18" s="40" t="s">
        <v>279</v>
      </c>
      <c r="L18" s="39" t="s">
        <v>26</v>
      </c>
      <c r="M18" s="49">
        <v>46085</v>
      </c>
      <c r="N18" s="41" t="s">
        <v>78</v>
      </c>
      <c r="O18" s="41" t="s">
        <v>28</v>
      </c>
      <c r="P18" s="44">
        <f t="shared" si="0"/>
        <v>1</v>
      </c>
      <c r="Q18" s="49">
        <v>46085</v>
      </c>
      <c r="R18" s="46">
        <f t="shared" ca="1" si="1"/>
        <v>1</v>
      </c>
      <c r="S18" s="39" t="s">
        <v>37</v>
      </c>
      <c r="T18" s="39" t="s">
        <v>38</v>
      </c>
      <c r="U18" s="22" t="str">
        <f ca="1">IF(R18=GENERALIDADES!$I$1,#REF!,"0")</f>
        <v>0</v>
      </c>
      <c r="V18" s="42" t="s">
        <v>39</v>
      </c>
      <c r="W18" s="42" t="s">
        <v>38</v>
      </c>
      <c r="X18" s="22" t="str">
        <f ca="1">IF(U18=GENERALIDADES!$K$3,T18,"0")</f>
        <v>0</v>
      </c>
      <c r="Y18" s="39" t="s">
        <v>116</v>
      </c>
      <c r="Z18" s="39" t="s">
        <v>39</v>
      </c>
      <c r="AA18" s="40"/>
      <c r="AB18" s="39"/>
      <c r="AC18" s="41" t="s">
        <v>32</v>
      </c>
      <c r="AD18" s="22">
        <f t="shared" si="5"/>
        <v>1</v>
      </c>
      <c r="AE18" s="24">
        <f t="shared" si="6"/>
        <v>2</v>
      </c>
      <c r="AF18" s="36" t="b">
        <f t="shared" si="7"/>
        <v>1</v>
      </c>
    </row>
    <row r="19" spans="1:32" ht="88.5">
      <c r="A19" s="37" t="s">
        <v>280</v>
      </c>
      <c r="B19" s="38">
        <v>46084</v>
      </c>
      <c r="C19" s="39" t="s">
        <v>70</v>
      </c>
      <c r="D19" s="52" t="s">
        <v>281</v>
      </c>
      <c r="E19" s="52" t="s">
        <v>282</v>
      </c>
      <c r="F19" s="53" t="s">
        <v>283</v>
      </c>
      <c r="G19" s="58">
        <v>545474</v>
      </c>
      <c r="H19" s="39" t="s">
        <v>149</v>
      </c>
      <c r="I19" s="39"/>
      <c r="J19" s="40" t="s">
        <v>284</v>
      </c>
      <c r="K19" s="40" t="s">
        <v>285</v>
      </c>
      <c r="L19" s="39" t="s">
        <v>26</v>
      </c>
      <c r="M19" s="49">
        <v>46084</v>
      </c>
      <c r="N19" s="41" t="s">
        <v>78</v>
      </c>
      <c r="O19" s="41" t="s">
        <v>28</v>
      </c>
      <c r="P19" s="44">
        <f t="shared" si="0"/>
        <v>0</v>
      </c>
      <c r="Q19" s="49">
        <v>46085</v>
      </c>
      <c r="R19" s="46">
        <f t="shared" ca="1" si="1"/>
        <v>1</v>
      </c>
      <c r="S19" s="39" t="s">
        <v>37</v>
      </c>
      <c r="T19" s="39" t="s">
        <v>38</v>
      </c>
      <c r="U19" s="22" t="str">
        <f ca="1">IF(R19=GENERALIDADES!$I$1,#REF!,"0")</f>
        <v>0</v>
      </c>
      <c r="V19" s="42" t="s">
        <v>39</v>
      </c>
      <c r="W19" s="42" t="s">
        <v>38</v>
      </c>
      <c r="X19" s="22" t="str">
        <f ca="1">IF(U19=GENERALIDADES!$K$3,T19,"0")</f>
        <v>0</v>
      </c>
      <c r="Y19" s="39" t="s">
        <v>31</v>
      </c>
      <c r="Z19" s="39" t="s">
        <v>29</v>
      </c>
      <c r="AA19" s="40" t="s">
        <v>286</v>
      </c>
      <c r="AB19" s="39"/>
      <c r="AC19" s="41" t="s">
        <v>32</v>
      </c>
      <c r="AD19" s="22">
        <f t="shared" si="5"/>
        <v>0</v>
      </c>
      <c r="AE19" s="24">
        <f t="shared" si="6"/>
        <v>2</v>
      </c>
      <c r="AF19" s="36" t="b">
        <f t="shared" si="7"/>
        <v>1</v>
      </c>
    </row>
    <row r="20" spans="1:32" ht="79.5" customHeight="1">
      <c r="A20" s="37" t="s">
        <v>287</v>
      </c>
      <c r="B20" s="38">
        <v>46084</v>
      </c>
      <c r="C20" s="39" t="s">
        <v>70</v>
      </c>
      <c r="D20" s="52" t="s">
        <v>38</v>
      </c>
      <c r="E20" s="52" t="s">
        <v>38</v>
      </c>
      <c r="F20" s="53" t="s">
        <v>38</v>
      </c>
      <c r="G20" s="58" t="s">
        <v>38</v>
      </c>
      <c r="H20" s="39" t="s">
        <v>141</v>
      </c>
      <c r="I20" s="39"/>
      <c r="J20" s="40" t="s">
        <v>288</v>
      </c>
      <c r="K20" s="40" t="s">
        <v>257</v>
      </c>
      <c r="L20" s="39" t="s">
        <v>26</v>
      </c>
      <c r="M20" s="49">
        <v>46084</v>
      </c>
      <c r="N20" s="41" t="s">
        <v>78</v>
      </c>
      <c r="O20" s="41" t="s">
        <v>28</v>
      </c>
      <c r="P20" s="44">
        <f t="shared" ref="P20" si="10">M20-B20</f>
        <v>0</v>
      </c>
      <c r="Q20" s="49">
        <v>46084</v>
      </c>
      <c r="R20" s="46">
        <f t="shared" ref="R20" ca="1" si="11">IF(Q20-B20&lt;0,NOW()-B20,Q20-B20)</f>
        <v>0</v>
      </c>
      <c r="S20" s="39" t="s">
        <v>37</v>
      </c>
      <c r="T20" s="39" t="s">
        <v>38</v>
      </c>
      <c r="U20" s="22" t="str">
        <f ca="1">IF(R20=GENERALIDADES!$I$1,#REF!,"0")</f>
        <v>0</v>
      </c>
      <c r="V20" s="42" t="s">
        <v>39</v>
      </c>
      <c r="W20" s="42" t="s">
        <v>38</v>
      </c>
      <c r="X20" s="22" t="str">
        <f ca="1">IF(U20=GENERALIDADES!$K$3,T20,"0")</f>
        <v>0</v>
      </c>
      <c r="Y20" s="39" t="s">
        <v>116</v>
      </c>
      <c r="Z20" s="39" t="s">
        <v>39</v>
      </c>
      <c r="AA20" s="40"/>
      <c r="AB20" s="39"/>
      <c r="AC20" s="41" t="s">
        <v>32</v>
      </c>
      <c r="AD20" s="22">
        <f t="shared" si="5"/>
        <v>0</v>
      </c>
      <c r="AE20" s="24">
        <f t="shared" si="6"/>
        <v>1</v>
      </c>
      <c r="AF20" s="36" t="b">
        <f t="shared" si="7"/>
        <v>1</v>
      </c>
    </row>
    <row r="21" spans="1:32" ht="75.75">
      <c r="A21" s="37" t="s">
        <v>289</v>
      </c>
      <c r="B21" s="38">
        <v>46084</v>
      </c>
      <c r="C21" s="39" t="s">
        <v>162</v>
      </c>
      <c r="D21" s="52" t="s">
        <v>290</v>
      </c>
      <c r="E21" s="52" t="s">
        <v>291</v>
      </c>
      <c r="F21" s="53" t="s">
        <v>292</v>
      </c>
      <c r="G21" s="58">
        <v>572076</v>
      </c>
      <c r="H21" s="39" t="s">
        <v>149</v>
      </c>
      <c r="I21" s="39"/>
      <c r="J21" s="40" t="s">
        <v>293</v>
      </c>
      <c r="K21" s="40" t="s">
        <v>294</v>
      </c>
      <c r="L21" s="39" t="s">
        <v>49</v>
      </c>
      <c r="M21" s="49">
        <v>46090</v>
      </c>
      <c r="N21" s="41" t="s">
        <v>58</v>
      </c>
      <c r="O21" s="41" t="s">
        <v>51</v>
      </c>
      <c r="P21" s="44">
        <f t="shared" si="0"/>
        <v>6</v>
      </c>
      <c r="Q21" s="49"/>
      <c r="R21" s="46">
        <f t="shared" ca="1" si="1"/>
        <v>30.649708101853321</v>
      </c>
      <c r="S21" s="39" t="s">
        <v>23</v>
      </c>
      <c r="T21" s="39" t="s">
        <v>48</v>
      </c>
      <c r="U21" s="22" t="str">
        <f ca="1">IF(R21=GENERALIDADES!$I$1,#REF!,"0")</f>
        <v>0</v>
      </c>
      <c r="V21" s="42" t="s">
        <v>39</v>
      </c>
      <c r="W21" s="42" t="s">
        <v>38</v>
      </c>
      <c r="X21" s="22" t="str">
        <f ca="1">IF(U21=GENERALIDADES!$K$3,T21,"0")</f>
        <v>0</v>
      </c>
      <c r="Y21" s="39" t="s">
        <v>59</v>
      </c>
      <c r="Z21" s="39" t="s">
        <v>39</v>
      </c>
      <c r="AA21" s="40"/>
      <c r="AB21" s="39"/>
      <c r="AC21" s="41" t="s">
        <v>53</v>
      </c>
      <c r="AD21" s="22">
        <f t="shared" si="5"/>
        <v>6</v>
      </c>
      <c r="AE21" s="24">
        <f t="shared" si="6"/>
        <v>-32917</v>
      </c>
      <c r="AF21" s="36" t="b">
        <f t="shared" si="7"/>
        <v>0</v>
      </c>
    </row>
    <row r="22" spans="1:32" ht="62.25">
      <c r="A22" s="37" t="s">
        <v>295</v>
      </c>
      <c r="B22" s="38">
        <v>46084</v>
      </c>
      <c r="C22" s="39" t="s">
        <v>158</v>
      </c>
      <c r="D22" s="52" t="s">
        <v>38</v>
      </c>
      <c r="E22" s="52" t="s">
        <v>38</v>
      </c>
      <c r="F22" s="53" t="s">
        <v>38</v>
      </c>
      <c r="G22" s="58" t="s">
        <v>38</v>
      </c>
      <c r="H22" s="39" t="s">
        <v>35</v>
      </c>
      <c r="I22" s="39"/>
      <c r="J22" s="40" t="s">
        <v>296</v>
      </c>
      <c r="K22" s="40" t="s">
        <v>297</v>
      </c>
      <c r="L22" s="39" t="s">
        <v>26</v>
      </c>
      <c r="M22" s="38">
        <v>46084</v>
      </c>
      <c r="N22" s="41" t="s">
        <v>78</v>
      </c>
      <c r="O22" s="41" t="s">
        <v>28</v>
      </c>
      <c r="P22" s="44">
        <f t="shared" si="0"/>
        <v>0</v>
      </c>
      <c r="Q22" s="38">
        <v>46084</v>
      </c>
      <c r="R22" s="46">
        <f t="shared" ca="1" si="1"/>
        <v>0</v>
      </c>
      <c r="S22" s="39" t="s">
        <v>37</v>
      </c>
      <c r="T22" s="39" t="s">
        <v>38</v>
      </c>
      <c r="U22" s="22" t="str">
        <f ca="1">IF(R22=GENERALIDADES!$I$1,#REF!,"0")</f>
        <v>0</v>
      </c>
      <c r="V22" s="42" t="s">
        <v>39</v>
      </c>
      <c r="W22" s="42" t="s">
        <v>38</v>
      </c>
      <c r="X22" s="22" t="str">
        <f ca="1">IF(U22=GENERALIDADES!$K$3,T22,"0")</f>
        <v>0</v>
      </c>
      <c r="Y22" s="39" t="s">
        <v>112</v>
      </c>
      <c r="Z22" s="39" t="s">
        <v>39</v>
      </c>
      <c r="AA22" s="40"/>
      <c r="AB22" s="39"/>
      <c r="AC22" s="41" t="s">
        <v>32</v>
      </c>
      <c r="AD22" s="22">
        <f t="shared" si="5"/>
        <v>0</v>
      </c>
      <c r="AE22" s="24">
        <f t="shared" si="6"/>
        <v>1</v>
      </c>
      <c r="AF22" s="36" t="b">
        <f t="shared" si="7"/>
        <v>1</v>
      </c>
    </row>
    <row r="23" spans="1:32" ht="75.75">
      <c r="A23" s="37" t="s">
        <v>298</v>
      </c>
      <c r="B23" s="38">
        <v>46085</v>
      </c>
      <c r="C23" s="39" t="s">
        <v>70</v>
      </c>
      <c r="D23" s="52" t="s">
        <v>290</v>
      </c>
      <c r="E23" s="52" t="s">
        <v>299</v>
      </c>
      <c r="F23" s="53" t="s">
        <v>300</v>
      </c>
      <c r="G23" s="58" t="s">
        <v>301</v>
      </c>
      <c r="H23" s="39" t="s">
        <v>157</v>
      </c>
      <c r="I23" s="39" t="s">
        <v>302</v>
      </c>
      <c r="J23" s="40" t="s">
        <v>303</v>
      </c>
      <c r="K23" s="40" t="s">
        <v>304</v>
      </c>
      <c r="L23" s="39" t="s">
        <v>26</v>
      </c>
      <c r="M23" s="49">
        <v>46085</v>
      </c>
      <c r="N23" s="41" t="s">
        <v>78</v>
      </c>
      <c r="O23" s="41" t="s">
        <v>28</v>
      </c>
      <c r="P23" s="44">
        <f t="shared" si="0"/>
        <v>0</v>
      </c>
      <c r="Q23" s="49">
        <v>46085</v>
      </c>
      <c r="R23" s="46">
        <f t="shared" ca="1" si="1"/>
        <v>0</v>
      </c>
      <c r="S23" s="39" t="s">
        <v>37</v>
      </c>
      <c r="T23" s="39" t="s">
        <v>38</v>
      </c>
      <c r="U23" s="22" t="str">
        <f ca="1">IF(R23=GENERALIDADES!$I$1,#REF!,"0")</f>
        <v>0</v>
      </c>
      <c r="V23" s="42" t="s">
        <v>39</v>
      </c>
      <c r="W23" s="42" t="s">
        <v>38</v>
      </c>
      <c r="X23" s="22" t="str">
        <f ca="1">IF(U23=GENERALIDADES!$K$3,T23,"0")</f>
        <v>0</v>
      </c>
      <c r="Y23" s="39" t="s">
        <v>52</v>
      </c>
      <c r="Z23" s="39" t="s">
        <v>29</v>
      </c>
      <c r="AA23" s="40" t="s">
        <v>305</v>
      </c>
      <c r="AB23" s="39"/>
      <c r="AC23" s="41" t="s">
        <v>32</v>
      </c>
      <c r="AD23" s="22">
        <f t="shared" si="5"/>
        <v>0</v>
      </c>
      <c r="AE23" s="24">
        <f t="shared" si="6"/>
        <v>1</v>
      </c>
      <c r="AF23" s="36" t="b">
        <f t="shared" si="7"/>
        <v>1</v>
      </c>
    </row>
    <row r="24" spans="1:32" ht="62.25">
      <c r="A24" s="37" t="s">
        <v>306</v>
      </c>
      <c r="B24" s="38">
        <v>46085</v>
      </c>
      <c r="C24" s="39" t="s">
        <v>70</v>
      </c>
      <c r="D24" s="52" t="s">
        <v>222</v>
      </c>
      <c r="E24" s="52" t="s">
        <v>307</v>
      </c>
      <c r="F24" s="53" t="s">
        <v>308</v>
      </c>
      <c r="G24" s="58">
        <v>573325</v>
      </c>
      <c r="H24" s="39" t="s">
        <v>157</v>
      </c>
      <c r="I24" s="39" t="s">
        <v>309</v>
      </c>
      <c r="J24" s="40" t="s">
        <v>310</v>
      </c>
      <c r="K24" s="40" t="s">
        <v>279</v>
      </c>
      <c r="L24" s="39" t="s">
        <v>26</v>
      </c>
      <c r="M24" s="49">
        <v>46085</v>
      </c>
      <c r="N24" s="41" t="s">
        <v>78</v>
      </c>
      <c r="O24" s="41" t="s">
        <v>28</v>
      </c>
      <c r="P24" s="44">
        <f t="shared" si="0"/>
        <v>0</v>
      </c>
      <c r="Q24" s="49">
        <v>46085</v>
      </c>
      <c r="R24" s="46">
        <f t="shared" ca="1" si="1"/>
        <v>0</v>
      </c>
      <c r="S24" s="39" t="s">
        <v>37</v>
      </c>
      <c r="T24" s="39" t="s">
        <v>38</v>
      </c>
      <c r="U24" s="22" t="str">
        <f ca="1">IF(R24=GENERALIDADES!$I$1,#REF!,"0")</f>
        <v>0</v>
      </c>
      <c r="V24" s="42" t="s">
        <v>39</v>
      </c>
      <c r="W24" s="42" t="s">
        <v>38</v>
      </c>
      <c r="X24" s="22" t="str">
        <f ca="1">IF(U24=GENERALIDADES!$K$3,T24,"0")</f>
        <v>0</v>
      </c>
      <c r="Y24" s="39" t="s">
        <v>116</v>
      </c>
      <c r="Z24" s="39" t="s">
        <v>39</v>
      </c>
      <c r="AA24" s="40"/>
      <c r="AB24" s="39"/>
      <c r="AC24" s="41" t="s">
        <v>32</v>
      </c>
      <c r="AD24" s="22">
        <f t="shared" si="5"/>
        <v>0</v>
      </c>
      <c r="AE24" s="24">
        <f t="shared" si="6"/>
        <v>1</v>
      </c>
      <c r="AF24" s="36" t="b">
        <f t="shared" si="7"/>
        <v>1</v>
      </c>
    </row>
    <row r="25" spans="1:32" ht="88.5">
      <c r="A25" s="37" t="s">
        <v>311</v>
      </c>
      <c r="B25" s="38">
        <v>46085</v>
      </c>
      <c r="C25" s="39" t="s">
        <v>122</v>
      </c>
      <c r="D25" s="52" t="s">
        <v>312</v>
      </c>
      <c r="E25" s="52" t="s">
        <v>313</v>
      </c>
      <c r="F25" s="53">
        <v>502387</v>
      </c>
      <c r="G25" s="58">
        <v>545501</v>
      </c>
      <c r="H25" s="39" t="s">
        <v>149</v>
      </c>
      <c r="I25" s="39"/>
      <c r="J25" s="40" t="s">
        <v>314</v>
      </c>
      <c r="K25" s="40" t="s">
        <v>315</v>
      </c>
      <c r="L25" s="39" t="s">
        <v>26</v>
      </c>
      <c r="M25" s="38">
        <v>46085</v>
      </c>
      <c r="N25" s="41" t="s">
        <v>58</v>
      </c>
      <c r="O25" s="41" t="s">
        <v>51</v>
      </c>
      <c r="P25" s="44">
        <f t="shared" si="0"/>
        <v>0</v>
      </c>
      <c r="Q25" s="38">
        <v>46085</v>
      </c>
      <c r="R25" s="46">
        <f t="shared" ca="1" si="1"/>
        <v>0</v>
      </c>
      <c r="S25" s="39" t="s">
        <v>37</v>
      </c>
      <c r="T25" s="39" t="s">
        <v>38</v>
      </c>
      <c r="U25" s="22" t="str">
        <f ca="1">IF(R25=GENERALIDADES!$I$1,#REF!,"0")</f>
        <v>0</v>
      </c>
      <c r="V25" s="42" t="s">
        <v>39</v>
      </c>
      <c r="W25" s="42" t="s">
        <v>38</v>
      </c>
      <c r="X25" s="22" t="str">
        <f ca="1">IF(U25=GENERALIDADES!$K$3,T25,"0")</f>
        <v>0</v>
      </c>
      <c r="Y25" s="39" t="s">
        <v>116</v>
      </c>
      <c r="Z25" s="39" t="s">
        <v>39</v>
      </c>
      <c r="AA25" s="40"/>
      <c r="AB25" s="39"/>
      <c r="AC25" s="41" t="s">
        <v>67</v>
      </c>
      <c r="AD25" s="22">
        <f t="shared" si="5"/>
        <v>0</v>
      </c>
      <c r="AE25" s="24">
        <f t="shared" si="6"/>
        <v>1</v>
      </c>
      <c r="AF25" s="36" t="b">
        <f t="shared" si="7"/>
        <v>1</v>
      </c>
    </row>
    <row r="26" spans="1:32" ht="62.25">
      <c r="A26" s="37" t="s">
        <v>316</v>
      </c>
      <c r="B26" s="38">
        <v>46085</v>
      </c>
      <c r="C26" s="39" t="s">
        <v>160</v>
      </c>
      <c r="D26" s="52" t="s">
        <v>38</v>
      </c>
      <c r="E26" s="52" t="s">
        <v>38</v>
      </c>
      <c r="F26" s="53" t="s">
        <v>38</v>
      </c>
      <c r="G26" s="58" t="s">
        <v>38</v>
      </c>
      <c r="H26" s="39" t="s">
        <v>151</v>
      </c>
      <c r="I26" s="39"/>
      <c r="J26" s="40" t="s">
        <v>317</v>
      </c>
      <c r="K26" s="40" t="s">
        <v>318</v>
      </c>
      <c r="L26" s="39" t="s">
        <v>26</v>
      </c>
      <c r="M26" s="38">
        <v>46085</v>
      </c>
      <c r="N26" s="41" t="s">
        <v>78</v>
      </c>
      <c r="O26" s="41" t="s">
        <v>28</v>
      </c>
      <c r="P26" s="44">
        <f t="shared" si="0"/>
        <v>0</v>
      </c>
      <c r="Q26" s="38">
        <v>46085</v>
      </c>
      <c r="R26" s="46">
        <f t="shared" ca="1" si="1"/>
        <v>0</v>
      </c>
      <c r="S26" s="39" t="s">
        <v>37</v>
      </c>
      <c r="T26" s="39" t="s">
        <v>38</v>
      </c>
      <c r="U26" s="22" t="str">
        <f ca="1">IF(R26=GENERALIDADES!$I$1,#REF!,"0")</f>
        <v>0</v>
      </c>
      <c r="V26" s="42" t="s">
        <v>39</v>
      </c>
      <c r="W26" s="42" t="s">
        <v>38</v>
      </c>
      <c r="X26" s="22" t="str">
        <f ca="1">IF(U26=GENERALIDADES!$K$3,T26,"0")</f>
        <v>0</v>
      </c>
      <c r="Y26" s="39" t="s">
        <v>116</v>
      </c>
      <c r="Z26" s="39" t="s">
        <v>39</v>
      </c>
      <c r="AA26" s="40"/>
      <c r="AB26" s="39"/>
      <c r="AC26" s="41" t="s">
        <v>32</v>
      </c>
      <c r="AD26" s="22">
        <f t="shared" si="5"/>
        <v>0</v>
      </c>
      <c r="AE26" s="24">
        <f t="shared" si="6"/>
        <v>1</v>
      </c>
      <c r="AF26" s="36" t="b">
        <f t="shared" si="7"/>
        <v>1</v>
      </c>
    </row>
    <row r="27" spans="1:32" ht="62.25">
      <c r="A27" s="37" t="s">
        <v>319</v>
      </c>
      <c r="B27" s="38">
        <v>46085</v>
      </c>
      <c r="C27" s="39" t="s">
        <v>160</v>
      </c>
      <c r="D27" s="52" t="s">
        <v>281</v>
      </c>
      <c r="E27" s="52" t="s">
        <v>320</v>
      </c>
      <c r="F27" s="53" t="s">
        <v>321</v>
      </c>
      <c r="G27" s="58">
        <v>574284</v>
      </c>
      <c r="H27" s="39" t="s">
        <v>157</v>
      </c>
      <c r="I27" s="39" t="s">
        <v>302</v>
      </c>
      <c r="J27" s="40" t="s">
        <v>322</v>
      </c>
      <c r="K27" s="40" t="s">
        <v>323</v>
      </c>
      <c r="L27" s="39" t="s">
        <v>26</v>
      </c>
      <c r="M27" s="38">
        <v>46085</v>
      </c>
      <c r="N27" s="41" t="s">
        <v>78</v>
      </c>
      <c r="O27" s="41" t="s">
        <v>28</v>
      </c>
      <c r="P27" s="44">
        <f t="shared" si="0"/>
        <v>0</v>
      </c>
      <c r="Q27" s="38">
        <v>46085</v>
      </c>
      <c r="R27" s="46">
        <f t="shared" ca="1" si="1"/>
        <v>0</v>
      </c>
      <c r="S27" s="39" t="s">
        <v>37</v>
      </c>
      <c r="T27" s="39" t="s">
        <v>38</v>
      </c>
      <c r="U27" s="22" t="str">
        <f ca="1">IF(R27=GENERALIDADES!$I$1,#REF!,"0")</f>
        <v>0</v>
      </c>
      <c r="V27" s="42" t="s">
        <v>39</v>
      </c>
      <c r="W27" s="42" t="s">
        <v>38</v>
      </c>
      <c r="X27" s="22" t="str">
        <f ca="1">IF(U27=GENERALIDADES!$K$3,T27,"0")</f>
        <v>0</v>
      </c>
      <c r="Y27" s="39" t="s">
        <v>17</v>
      </c>
      <c r="Z27" s="39" t="s">
        <v>39</v>
      </c>
      <c r="AA27" s="40"/>
      <c r="AB27" s="39"/>
      <c r="AC27" s="41" t="s">
        <v>32</v>
      </c>
      <c r="AD27" s="22">
        <f t="shared" si="5"/>
        <v>0</v>
      </c>
      <c r="AE27" s="24">
        <f t="shared" si="6"/>
        <v>1</v>
      </c>
      <c r="AF27" s="36" t="b">
        <f t="shared" si="7"/>
        <v>1</v>
      </c>
    </row>
    <row r="28" spans="1:32" ht="50.25">
      <c r="A28" s="37" t="s">
        <v>324</v>
      </c>
      <c r="B28" s="38">
        <v>46085</v>
      </c>
      <c r="C28" s="39" t="s">
        <v>124</v>
      </c>
      <c r="D28" s="52" t="s">
        <v>38</v>
      </c>
      <c r="E28" s="52" t="s">
        <v>38</v>
      </c>
      <c r="F28" s="53" t="s">
        <v>38</v>
      </c>
      <c r="G28" s="58" t="s">
        <v>38</v>
      </c>
      <c r="H28" s="39" t="s">
        <v>141</v>
      </c>
      <c r="I28" s="39"/>
      <c r="J28" s="40" t="s">
        <v>325</v>
      </c>
      <c r="K28" s="40" t="s">
        <v>326</v>
      </c>
      <c r="L28" s="39" t="s">
        <v>26</v>
      </c>
      <c r="M28" s="38">
        <v>46085</v>
      </c>
      <c r="N28" s="41" t="s">
        <v>78</v>
      </c>
      <c r="O28" s="41" t="s">
        <v>28</v>
      </c>
      <c r="P28" s="44">
        <f t="shared" si="0"/>
        <v>0</v>
      </c>
      <c r="Q28" s="38">
        <v>46085</v>
      </c>
      <c r="R28" s="46">
        <f t="shared" ca="1" si="1"/>
        <v>0</v>
      </c>
      <c r="S28" s="39" t="s">
        <v>37</v>
      </c>
      <c r="T28" s="39" t="s">
        <v>38</v>
      </c>
      <c r="U28" s="22" t="str">
        <f ca="1">IF(R28=GENERALIDADES!$I$1,#REF!,"0")</f>
        <v>0</v>
      </c>
      <c r="V28" s="42" t="s">
        <v>39</v>
      </c>
      <c r="W28" s="42" t="s">
        <v>38</v>
      </c>
      <c r="X28" s="22" t="str">
        <f ca="1">IF(U28=GENERALIDADES!$K$3,T28,"0")</f>
        <v>0</v>
      </c>
      <c r="Y28" s="39" t="s">
        <v>112</v>
      </c>
      <c r="Z28" s="39" t="s">
        <v>39</v>
      </c>
      <c r="AA28" s="40"/>
      <c r="AB28" s="39"/>
      <c r="AC28" s="41" t="s">
        <v>32</v>
      </c>
      <c r="AD28" s="22">
        <f t="shared" si="5"/>
        <v>0</v>
      </c>
      <c r="AE28" s="24">
        <f t="shared" si="6"/>
        <v>1</v>
      </c>
      <c r="AF28" s="36" t="b">
        <f t="shared" si="7"/>
        <v>1</v>
      </c>
    </row>
    <row r="29" spans="1:32" ht="75.75">
      <c r="A29" s="37" t="s">
        <v>327</v>
      </c>
      <c r="B29" s="38">
        <v>46085</v>
      </c>
      <c r="C29" s="39" t="s">
        <v>70</v>
      </c>
      <c r="D29" s="52" t="s">
        <v>222</v>
      </c>
      <c r="E29" s="52" t="s">
        <v>223</v>
      </c>
      <c r="F29" s="53" t="s">
        <v>328</v>
      </c>
      <c r="G29" s="58">
        <v>545692</v>
      </c>
      <c r="H29" s="39" t="s">
        <v>143</v>
      </c>
      <c r="I29" s="39"/>
      <c r="J29" s="40" t="s">
        <v>329</v>
      </c>
      <c r="K29" s="40" t="s">
        <v>330</v>
      </c>
      <c r="L29" s="39" t="s">
        <v>26</v>
      </c>
      <c r="M29" s="49">
        <v>46085</v>
      </c>
      <c r="N29" s="41" t="s">
        <v>78</v>
      </c>
      <c r="O29" s="41" t="s">
        <v>28</v>
      </c>
      <c r="P29" s="44">
        <f t="shared" si="0"/>
        <v>0</v>
      </c>
      <c r="Q29" s="49">
        <v>46085</v>
      </c>
      <c r="R29" s="46">
        <f t="shared" ca="1" si="1"/>
        <v>0</v>
      </c>
      <c r="S29" s="39" t="s">
        <v>37</v>
      </c>
      <c r="T29" s="39" t="s">
        <v>38</v>
      </c>
      <c r="U29" s="22" t="str">
        <f ca="1">IF(R29=GENERALIDADES!$I$1,#REF!,"0")</f>
        <v>0</v>
      </c>
      <c r="V29" s="42" t="s">
        <v>39</v>
      </c>
      <c r="W29" s="42" t="s">
        <v>38</v>
      </c>
      <c r="X29" s="22" t="str">
        <f ca="1">IF(U29=GENERALIDADES!$K$3,T29,"0")</f>
        <v>0</v>
      </c>
      <c r="Y29" s="39" t="s">
        <v>59</v>
      </c>
      <c r="Z29" s="39" t="s">
        <v>29</v>
      </c>
      <c r="AA29" s="40" t="s">
        <v>331</v>
      </c>
      <c r="AB29" s="39"/>
      <c r="AC29" s="41" t="s">
        <v>32</v>
      </c>
      <c r="AD29" s="22">
        <f t="shared" si="5"/>
        <v>0</v>
      </c>
      <c r="AE29" s="24">
        <f t="shared" si="6"/>
        <v>1</v>
      </c>
      <c r="AF29" s="36" t="b">
        <f t="shared" si="7"/>
        <v>1</v>
      </c>
    </row>
    <row r="30" spans="1:32" ht="37.5">
      <c r="A30" s="37" t="s">
        <v>332</v>
      </c>
      <c r="B30" s="38">
        <v>46086</v>
      </c>
      <c r="C30" s="39" t="s">
        <v>158</v>
      </c>
      <c r="D30" s="52" t="s">
        <v>38</v>
      </c>
      <c r="E30" s="52" t="s">
        <v>38</v>
      </c>
      <c r="F30" s="53" t="s">
        <v>38</v>
      </c>
      <c r="G30" s="58" t="s">
        <v>38</v>
      </c>
      <c r="H30" s="39" t="s">
        <v>157</v>
      </c>
      <c r="I30" s="39"/>
      <c r="J30" s="40" t="s">
        <v>333</v>
      </c>
      <c r="K30" s="40" t="s">
        <v>334</v>
      </c>
      <c r="L30" s="39" t="s">
        <v>26</v>
      </c>
      <c r="M30" s="38">
        <v>46086</v>
      </c>
      <c r="N30" s="41" t="s">
        <v>78</v>
      </c>
      <c r="O30" s="41" t="s">
        <v>28</v>
      </c>
      <c r="P30" s="44">
        <f t="shared" si="0"/>
        <v>0</v>
      </c>
      <c r="Q30" s="38">
        <v>46086</v>
      </c>
      <c r="R30" s="46">
        <f t="shared" ca="1" si="1"/>
        <v>0</v>
      </c>
      <c r="S30" s="39" t="s">
        <v>37</v>
      </c>
      <c r="T30" s="39" t="s">
        <v>38</v>
      </c>
      <c r="U30" s="22" t="str">
        <f ca="1">IF(R30=GENERALIDADES!$I$1,#REF!,"0")</f>
        <v>0</v>
      </c>
      <c r="V30" s="42" t="s">
        <v>39</v>
      </c>
      <c r="W30" s="42" t="s">
        <v>38</v>
      </c>
      <c r="X30" s="22" t="str">
        <f ca="1">IF(U30=GENERALIDADES!$K$3,T30,"0")</f>
        <v>0</v>
      </c>
      <c r="Y30" s="39" t="s">
        <v>112</v>
      </c>
      <c r="Z30" s="39" t="s">
        <v>39</v>
      </c>
      <c r="AA30" s="40"/>
      <c r="AB30" s="39"/>
      <c r="AC30" s="41" t="s">
        <v>32</v>
      </c>
      <c r="AD30" s="22">
        <f t="shared" si="5"/>
        <v>0</v>
      </c>
      <c r="AE30" s="24">
        <f t="shared" si="6"/>
        <v>1</v>
      </c>
      <c r="AF30" s="36" t="b">
        <f t="shared" si="7"/>
        <v>1</v>
      </c>
    </row>
    <row r="31" spans="1:32" ht="62.25">
      <c r="A31" s="37" t="s">
        <v>335</v>
      </c>
      <c r="B31" s="38">
        <v>46086</v>
      </c>
      <c r="C31" s="39" t="s">
        <v>128</v>
      </c>
      <c r="D31" s="52" t="s">
        <v>336</v>
      </c>
      <c r="E31" s="52" t="s">
        <v>337</v>
      </c>
      <c r="F31" s="53" t="s">
        <v>338</v>
      </c>
      <c r="G31" s="58">
        <v>573479</v>
      </c>
      <c r="H31" s="39" t="s">
        <v>151</v>
      </c>
      <c r="I31" s="39"/>
      <c r="J31" s="40" t="s">
        <v>339</v>
      </c>
      <c r="K31" s="40" t="s">
        <v>340</v>
      </c>
      <c r="L31" s="39" t="s">
        <v>26</v>
      </c>
      <c r="M31" s="38">
        <v>46086</v>
      </c>
      <c r="N31" s="41" t="s">
        <v>78</v>
      </c>
      <c r="O31" s="41" t="s">
        <v>28</v>
      </c>
      <c r="P31" s="44">
        <f t="shared" si="0"/>
        <v>0</v>
      </c>
      <c r="Q31" s="38">
        <v>46086</v>
      </c>
      <c r="R31" s="46">
        <f t="shared" ca="1" si="1"/>
        <v>0</v>
      </c>
      <c r="S31" s="39" t="s">
        <v>37</v>
      </c>
      <c r="T31" s="39" t="s">
        <v>38</v>
      </c>
      <c r="U31" s="22" t="str">
        <f ca="1">IF(R31=GENERALIDADES!$I$1,#REF!,"0")</f>
        <v>0</v>
      </c>
      <c r="V31" s="42" t="s">
        <v>39</v>
      </c>
      <c r="W31" s="42" t="s">
        <v>38</v>
      </c>
      <c r="X31" s="22" t="str">
        <f ca="1">IF(U31=GENERALIDADES!$K$3,T31,"0")</f>
        <v>0</v>
      </c>
      <c r="Y31" s="39" t="s">
        <v>52</v>
      </c>
      <c r="Z31" s="39" t="s">
        <v>39</v>
      </c>
      <c r="AA31" s="40"/>
      <c r="AB31" s="39"/>
      <c r="AC31" s="41" t="s">
        <v>32</v>
      </c>
      <c r="AD31" s="22">
        <f t="shared" si="5"/>
        <v>0</v>
      </c>
      <c r="AE31" s="24">
        <f t="shared" si="6"/>
        <v>1</v>
      </c>
      <c r="AF31" s="36" t="b">
        <f t="shared" si="7"/>
        <v>1</v>
      </c>
    </row>
    <row r="32" spans="1:32" ht="50.25">
      <c r="A32" s="37" t="s">
        <v>341</v>
      </c>
      <c r="B32" s="38">
        <v>46086</v>
      </c>
      <c r="C32" s="39" t="s">
        <v>70</v>
      </c>
      <c r="D32" s="52" t="s">
        <v>342</v>
      </c>
      <c r="E32" s="52" t="s">
        <v>343</v>
      </c>
      <c r="F32" s="53" t="s">
        <v>344</v>
      </c>
      <c r="G32" s="58">
        <v>573314</v>
      </c>
      <c r="H32" s="39" t="s">
        <v>153</v>
      </c>
      <c r="I32" s="39"/>
      <c r="J32" s="40" t="s">
        <v>345</v>
      </c>
      <c r="K32" s="40" t="s">
        <v>346</v>
      </c>
      <c r="L32" s="39" t="s">
        <v>26</v>
      </c>
      <c r="M32" s="38">
        <v>46086</v>
      </c>
      <c r="N32" s="41" t="s">
        <v>78</v>
      </c>
      <c r="O32" s="41" t="s">
        <v>28</v>
      </c>
      <c r="P32" s="44">
        <f t="shared" si="0"/>
        <v>0</v>
      </c>
      <c r="Q32" s="38">
        <v>46086</v>
      </c>
      <c r="R32" s="46">
        <f t="shared" ca="1" si="1"/>
        <v>0</v>
      </c>
      <c r="S32" s="39" t="s">
        <v>37</v>
      </c>
      <c r="T32" s="39" t="s">
        <v>38</v>
      </c>
      <c r="U32" s="22" t="str">
        <f ca="1">IF(R32=GENERALIDADES!$I$1,#REF!,"0")</f>
        <v>0</v>
      </c>
      <c r="V32" s="42" t="s">
        <v>39</v>
      </c>
      <c r="W32" s="42" t="s">
        <v>38</v>
      </c>
      <c r="X32" s="22" t="str">
        <f ca="1">IF(U32=GENERALIDADES!$K$3,T32,"0")</f>
        <v>0</v>
      </c>
      <c r="Y32" s="39" t="s">
        <v>52</v>
      </c>
      <c r="Z32" s="39" t="s">
        <v>39</v>
      </c>
      <c r="AA32" s="40"/>
      <c r="AB32" s="39"/>
      <c r="AC32" s="41" t="s">
        <v>32</v>
      </c>
      <c r="AD32" s="22">
        <f t="shared" si="5"/>
        <v>0</v>
      </c>
      <c r="AE32" s="24">
        <f t="shared" si="6"/>
        <v>1</v>
      </c>
      <c r="AF32" s="36" t="b">
        <f t="shared" si="7"/>
        <v>1</v>
      </c>
    </row>
    <row r="33" spans="1:32" ht="50.25">
      <c r="A33" s="37" t="s">
        <v>347</v>
      </c>
      <c r="B33" s="38">
        <v>46087</v>
      </c>
      <c r="C33" s="39" t="s">
        <v>70</v>
      </c>
      <c r="D33" s="52"/>
      <c r="E33" s="52"/>
      <c r="F33" s="53"/>
      <c r="G33" s="58" t="s">
        <v>348</v>
      </c>
      <c r="H33" s="39" t="s">
        <v>157</v>
      </c>
      <c r="I33" s="39"/>
      <c r="J33" s="40" t="s">
        <v>349</v>
      </c>
      <c r="K33" s="40" t="str">
        <f>LOWER(Marzo_2026[[#This Row],[DESCRIPCIÓN DE DAÑO]])</f>
        <v>buenos dias solicito soporte tecnico para el saturador del monitor de signos vitales de expansion hombres, muchas gracias</v>
      </c>
      <c r="L33" s="39"/>
      <c r="M33" s="49"/>
      <c r="N33" s="41" t="s">
        <v>78</v>
      </c>
      <c r="O33" s="41"/>
      <c r="P33" s="44">
        <f t="shared" si="0"/>
        <v>-46087</v>
      </c>
      <c r="Q33" s="38"/>
      <c r="R33" s="46">
        <f t="shared" ca="1" si="1"/>
        <v>27.649708101853321</v>
      </c>
      <c r="S33" s="39"/>
      <c r="T33" s="39"/>
      <c r="U33" s="22" t="str">
        <f ca="1">IF(R33=GENERALIDADES!$I$1,#REF!,"0")</f>
        <v>0</v>
      </c>
      <c r="V33" s="42"/>
      <c r="W33" s="42"/>
      <c r="X33" s="22" t="str">
        <f ca="1">IF(U33=GENERALIDADES!$K$3,T33,"0")</f>
        <v>0</v>
      </c>
      <c r="Y33" s="39"/>
      <c r="Z33" s="39"/>
      <c r="AA33" s="40"/>
      <c r="AB33" s="39"/>
      <c r="AC33" s="41"/>
      <c r="AD33" s="22">
        <f t="shared" si="5"/>
        <v>-46087</v>
      </c>
      <c r="AE33" s="24">
        <f t="shared" si="6"/>
        <v>-32920</v>
      </c>
      <c r="AF33" s="36" t="b">
        <f t="shared" si="7"/>
        <v>1</v>
      </c>
    </row>
    <row r="34" spans="1:32" ht="50.25">
      <c r="A34" s="37" t="s">
        <v>350</v>
      </c>
      <c r="B34" s="38">
        <v>46087</v>
      </c>
      <c r="C34" s="39" t="s">
        <v>146</v>
      </c>
      <c r="D34" s="52" t="s">
        <v>38</v>
      </c>
      <c r="E34" s="52" t="s">
        <v>38</v>
      </c>
      <c r="F34" s="53" t="s">
        <v>38</v>
      </c>
      <c r="G34" s="58" t="s">
        <v>38</v>
      </c>
      <c r="H34" s="39" t="s">
        <v>157</v>
      </c>
      <c r="I34" s="39"/>
      <c r="J34" s="40" t="s">
        <v>351</v>
      </c>
      <c r="K34" s="40" t="s">
        <v>352</v>
      </c>
      <c r="L34" s="39" t="s">
        <v>64</v>
      </c>
      <c r="M34" s="38">
        <v>46087</v>
      </c>
      <c r="N34" s="41" t="s">
        <v>78</v>
      </c>
      <c r="O34" s="41" t="s">
        <v>28</v>
      </c>
      <c r="P34" s="44">
        <f t="shared" si="0"/>
        <v>0</v>
      </c>
      <c r="Q34" s="38">
        <v>46087</v>
      </c>
      <c r="R34" s="46">
        <f t="shared" ca="1" si="1"/>
        <v>0</v>
      </c>
      <c r="S34" s="39" t="s">
        <v>37</v>
      </c>
      <c r="T34" s="39" t="s">
        <v>38</v>
      </c>
      <c r="U34" s="22" t="str">
        <f ca="1">IF(R34=GENERALIDADES!$I$1,#REF!,"0")</f>
        <v>0</v>
      </c>
      <c r="V34" s="42" t="s">
        <v>39</v>
      </c>
      <c r="W34" s="42" t="s">
        <v>38</v>
      </c>
      <c r="X34" s="22" t="str">
        <f ca="1">IF(U34=GENERALIDADES!$K$3,T34,"0")</f>
        <v>0</v>
      </c>
      <c r="Y34" s="39" t="s">
        <v>112</v>
      </c>
      <c r="Z34" s="39" t="s">
        <v>39</v>
      </c>
      <c r="AA34" s="40"/>
      <c r="AB34" s="39"/>
      <c r="AC34" s="41" t="s">
        <v>32</v>
      </c>
      <c r="AD34" s="22">
        <f t="shared" si="5"/>
        <v>0</v>
      </c>
      <c r="AE34" s="24">
        <f t="shared" si="6"/>
        <v>1</v>
      </c>
      <c r="AF34" s="36" t="b">
        <f t="shared" si="7"/>
        <v>1</v>
      </c>
    </row>
    <row r="35" spans="1:32" ht="62.25">
      <c r="A35" s="37" t="s">
        <v>353</v>
      </c>
      <c r="B35" s="38">
        <v>46087</v>
      </c>
      <c r="C35" s="39" t="s">
        <v>103</v>
      </c>
      <c r="D35" s="52" t="s">
        <v>266</v>
      </c>
      <c r="E35" s="52" t="s">
        <v>267</v>
      </c>
      <c r="F35" s="53">
        <v>136266</v>
      </c>
      <c r="G35" s="58">
        <v>548574</v>
      </c>
      <c r="H35" s="39" t="s">
        <v>76</v>
      </c>
      <c r="I35" s="39"/>
      <c r="J35" s="40" t="s">
        <v>354</v>
      </c>
      <c r="K35" s="40" t="s">
        <v>269</v>
      </c>
      <c r="L35" s="39" t="s">
        <v>26</v>
      </c>
      <c r="M35" s="49">
        <v>46087</v>
      </c>
      <c r="N35" s="41" t="s">
        <v>78</v>
      </c>
      <c r="O35" s="41" t="s">
        <v>28</v>
      </c>
      <c r="P35" s="44">
        <f t="shared" ref="P35" si="12">M35-B35</f>
        <v>0</v>
      </c>
      <c r="Q35" s="49">
        <v>46087</v>
      </c>
      <c r="R35" s="46">
        <f t="shared" ref="R35" ca="1" si="13">IF(Q35-B35&lt;0,NOW()-B35,Q35-B35)</f>
        <v>0</v>
      </c>
      <c r="S35" s="39" t="s">
        <v>37</v>
      </c>
      <c r="T35" s="39" t="s">
        <v>38</v>
      </c>
      <c r="U35" s="22" t="str">
        <f ca="1">IF(R35=GENERALIDADES!$I$1,#REF!,"0")</f>
        <v>0</v>
      </c>
      <c r="V35" s="42" t="s">
        <v>39</v>
      </c>
      <c r="W35" s="42" t="s">
        <v>38</v>
      </c>
      <c r="X35" s="22" t="str">
        <f ca="1">IF(U35=GENERALIDADES!$K$3,T35,"0")</f>
        <v>0</v>
      </c>
      <c r="Y35" s="39" t="s">
        <v>116</v>
      </c>
      <c r="Z35" s="39" t="s">
        <v>39</v>
      </c>
      <c r="AA35" s="40"/>
      <c r="AB35" s="39"/>
      <c r="AC35" s="41" t="s">
        <v>32</v>
      </c>
      <c r="AD35" s="22">
        <f t="shared" si="5"/>
        <v>0</v>
      </c>
      <c r="AE35" s="24">
        <f t="shared" si="6"/>
        <v>1</v>
      </c>
      <c r="AF35" s="36" t="b">
        <f t="shared" si="7"/>
        <v>1</v>
      </c>
    </row>
    <row r="36" spans="1:32" ht="62.25">
      <c r="A36" s="37" t="s">
        <v>355</v>
      </c>
      <c r="B36" s="38">
        <v>46087</v>
      </c>
      <c r="C36" s="39" t="s">
        <v>122</v>
      </c>
      <c r="D36" s="52" t="s">
        <v>312</v>
      </c>
      <c r="E36" s="52" t="s">
        <v>313</v>
      </c>
      <c r="F36" s="53">
        <v>502383</v>
      </c>
      <c r="G36" s="58">
        <v>545499</v>
      </c>
      <c r="H36" s="39" t="s">
        <v>149</v>
      </c>
      <c r="I36" s="39"/>
      <c r="J36" s="40" t="s">
        <v>356</v>
      </c>
      <c r="K36" s="40" t="s">
        <v>357</v>
      </c>
      <c r="L36" s="39" t="s">
        <v>26</v>
      </c>
      <c r="M36" s="49">
        <v>46087</v>
      </c>
      <c r="N36" s="41" t="s">
        <v>78</v>
      </c>
      <c r="O36" s="41" t="s">
        <v>28</v>
      </c>
      <c r="P36" s="44">
        <f t="shared" si="0"/>
        <v>0</v>
      </c>
      <c r="Q36" s="49">
        <v>46087</v>
      </c>
      <c r="R36" s="46">
        <f t="shared" ca="1" si="1"/>
        <v>0</v>
      </c>
      <c r="S36" s="39" t="s">
        <v>37</v>
      </c>
      <c r="T36" s="39" t="s">
        <v>38</v>
      </c>
      <c r="U36" s="22" t="str">
        <f ca="1">IF(R36=GENERALIDADES!$I$1,#REF!,"0")</f>
        <v>0</v>
      </c>
      <c r="V36" s="42" t="s">
        <v>39</v>
      </c>
      <c r="W36" s="42" t="s">
        <v>38</v>
      </c>
      <c r="X36" s="22" t="str">
        <f ca="1">IF(U36=GENERALIDADES!$K$3,T36,"0")</f>
        <v>0</v>
      </c>
      <c r="Y36" s="39" t="s">
        <v>116</v>
      </c>
      <c r="Z36" s="39" t="s">
        <v>39</v>
      </c>
      <c r="AA36" s="40"/>
      <c r="AB36" s="39"/>
      <c r="AC36" s="41" t="s">
        <v>32</v>
      </c>
      <c r="AD36" s="22">
        <f t="shared" si="5"/>
        <v>0</v>
      </c>
      <c r="AE36" s="24">
        <f t="shared" si="6"/>
        <v>1</v>
      </c>
      <c r="AF36" s="36" t="b">
        <f t="shared" si="7"/>
        <v>1</v>
      </c>
    </row>
    <row r="37" spans="1:32" ht="75.75">
      <c r="A37" s="37" t="s">
        <v>358</v>
      </c>
      <c r="B37" s="38">
        <v>46087</v>
      </c>
      <c r="C37" s="39" t="s">
        <v>70</v>
      </c>
      <c r="D37" s="52" t="s">
        <v>222</v>
      </c>
      <c r="E37" s="52" t="s">
        <v>223</v>
      </c>
      <c r="F37" s="53" t="s">
        <v>359</v>
      </c>
      <c r="G37" s="58" t="s">
        <v>360</v>
      </c>
      <c r="H37" s="39" t="s">
        <v>129</v>
      </c>
      <c r="I37" s="39"/>
      <c r="J37" s="40" t="s">
        <v>361</v>
      </c>
      <c r="K37" s="40" t="s">
        <v>362</v>
      </c>
      <c r="L37" s="39" t="s">
        <v>26</v>
      </c>
      <c r="M37" s="49">
        <v>46087</v>
      </c>
      <c r="N37" s="41" t="s">
        <v>78</v>
      </c>
      <c r="O37" s="41" t="s">
        <v>28</v>
      </c>
      <c r="P37" s="44">
        <f t="shared" ref="P37" si="14">M37-B37</f>
        <v>0</v>
      </c>
      <c r="Q37" s="49">
        <v>46087</v>
      </c>
      <c r="R37" s="46">
        <f t="shared" ref="R37" ca="1" si="15">IF(Q37-B37&lt;0,NOW()-B37,Q37-B37)</f>
        <v>0</v>
      </c>
      <c r="S37" s="39" t="s">
        <v>37</v>
      </c>
      <c r="T37" s="39" t="s">
        <v>38</v>
      </c>
      <c r="U37" s="22" t="str">
        <f ca="1">IF(R37=GENERALIDADES!$I$1,#REF!,"0")</f>
        <v>0</v>
      </c>
      <c r="V37" s="42" t="s">
        <v>39</v>
      </c>
      <c r="W37" s="42" t="s">
        <v>38</v>
      </c>
      <c r="X37" s="22" t="str">
        <f ca="1">IF(U37=GENERALIDADES!$K$3,T37,"0")</f>
        <v>0</v>
      </c>
      <c r="Y37" s="39" t="s">
        <v>52</v>
      </c>
      <c r="Z37" s="39" t="s">
        <v>29</v>
      </c>
      <c r="AA37" s="40" t="s">
        <v>305</v>
      </c>
      <c r="AB37" s="39"/>
      <c r="AC37" s="41" t="s">
        <v>32</v>
      </c>
      <c r="AD37" s="22">
        <f t="shared" si="5"/>
        <v>0</v>
      </c>
      <c r="AE37" s="24">
        <f t="shared" si="6"/>
        <v>1</v>
      </c>
      <c r="AF37" s="36" t="b">
        <f t="shared" si="7"/>
        <v>1</v>
      </c>
    </row>
    <row r="38" spans="1:32" ht="75.75">
      <c r="A38" s="37" t="s">
        <v>363</v>
      </c>
      <c r="B38" s="38">
        <v>46087</v>
      </c>
      <c r="C38" s="39" t="s">
        <v>70</v>
      </c>
      <c r="D38" s="52" t="s">
        <v>222</v>
      </c>
      <c r="E38" s="52" t="s">
        <v>307</v>
      </c>
      <c r="F38" s="53" t="s">
        <v>364</v>
      </c>
      <c r="G38" s="58">
        <v>573330</v>
      </c>
      <c r="H38" s="39" t="s">
        <v>98</v>
      </c>
      <c r="I38" s="39" t="s">
        <v>202</v>
      </c>
      <c r="J38" s="40" t="s">
        <v>365</v>
      </c>
      <c r="K38" s="40" t="s">
        <v>366</v>
      </c>
      <c r="L38" s="39" t="s">
        <v>26</v>
      </c>
      <c r="M38" s="49">
        <v>46087</v>
      </c>
      <c r="N38" s="41" t="s">
        <v>78</v>
      </c>
      <c r="O38" s="41" t="s">
        <v>28</v>
      </c>
      <c r="P38" s="44">
        <f t="shared" ref="P38" si="16">M38-B38</f>
        <v>0</v>
      </c>
      <c r="Q38" s="49">
        <v>46087</v>
      </c>
      <c r="R38" s="46">
        <f t="shared" ref="R38" ca="1" si="17">IF(Q38-B38&lt;0,NOW()-B38,Q38-B38)</f>
        <v>0</v>
      </c>
      <c r="S38" s="39" t="s">
        <v>37</v>
      </c>
      <c r="T38" s="39" t="s">
        <v>38</v>
      </c>
      <c r="U38" s="22" t="str">
        <f ca="1">IF(R38=GENERALIDADES!$I$1,#REF!,"0")</f>
        <v>0</v>
      </c>
      <c r="V38" s="42" t="s">
        <v>39</v>
      </c>
      <c r="W38" s="42" t="s">
        <v>38</v>
      </c>
      <c r="X38" s="22" t="str">
        <f ca="1">IF(U38=GENERALIDADES!$K$3,T38,"0")</f>
        <v>0</v>
      </c>
      <c r="Y38" s="39" t="s">
        <v>52</v>
      </c>
      <c r="Z38" s="39" t="s">
        <v>29</v>
      </c>
      <c r="AA38" s="40" t="s">
        <v>367</v>
      </c>
      <c r="AB38" s="39"/>
      <c r="AC38" s="41" t="s">
        <v>32</v>
      </c>
      <c r="AD38" s="22">
        <f t="shared" si="5"/>
        <v>0</v>
      </c>
      <c r="AE38" s="24">
        <f t="shared" si="6"/>
        <v>1</v>
      </c>
      <c r="AF38" s="36" t="b">
        <f t="shared" si="7"/>
        <v>1</v>
      </c>
    </row>
    <row r="39" spans="1:32" ht="75.75">
      <c r="A39" s="37" t="s">
        <v>368</v>
      </c>
      <c r="B39" s="38">
        <v>46087</v>
      </c>
      <c r="C39" s="39" t="s">
        <v>70</v>
      </c>
      <c r="D39" s="52" t="s">
        <v>222</v>
      </c>
      <c r="E39" s="52" t="s">
        <v>223</v>
      </c>
      <c r="F39" s="53" t="s">
        <v>369</v>
      </c>
      <c r="G39" s="58" t="s">
        <v>370</v>
      </c>
      <c r="H39" s="39" t="s">
        <v>129</v>
      </c>
      <c r="I39" s="39"/>
      <c r="J39" s="40" t="s">
        <v>371</v>
      </c>
      <c r="K39" s="40" t="s">
        <v>362</v>
      </c>
      <c r="L39" s="39" t="s">
        <v>26</v>
      </c>
      <c r="M39" s="49">
        <v>46087</v>
      </c>
      <c r="N39" s="41" t="s">
        <v>78</v>
      </c>
      <c r="O39" s="41" t="s">
        <v>28</v>
      </c>
      <c r="P39" s="44">
        <f t="shared" si="0"/>
        <v>0</v>
      </c>
      <c r="Q39" s="49">
        <v>46087</v>
      </c>
      <c r="R39" s="46">
        <f t="shared" ca="1" si="1"/>
        <v>0</v>
      </c>
      <c r="S39" s="39" t="s">
        <v>37</v>
      </c>
      <c r="T39" s="39" t="s">
        <v>38</v>
      </c>
      <c r="U39" s="22" t="str">
        <f ca="1">IF(R39=GENERALIDADES!$I$1,#REF!,"0")</f>
        <v>0</v>
      </c>
      <c r="V39" s="42" t="s">
        <v>39</v>
      </c>
      <c r="W39" s="42" t="s">
        <v>38</v>
      </c>
      <c r="X39" s="22" t="str">
        <f ca="1">IF(U39=GENERALIDADES!$K$3,T39,"0")</f>
        <v>0</v>
      </c>
      <c r="Y39" s="39" t="s">
        <v>52</v>
      </c>
      <c r="Z39" s="39" t="s">
        <v>29</v>
      </c>
      <c r="AA39" s="40" t="s">
        <v>305</v>
      </c>
      <c r="AB39" s="39"/>
      <c r="AC39" s="41" t="s">
        <v>32</v>
      </c>
      <c r="AD39" s="22">
        <f t="shared" si="5"/>
        <v>0</v>
      </c>
      <c r="AE39" s="24">
        <f t="shared" si="6"/>
        <v>1</v>
      </c>
      <c r="AF39" s="36" t="b">
        <f t="shared" si="7"/>
        <v>1</v>
      </c>
    </row>
    <row r="40" spans="1:32" ht="75.75">
      <c r="A40" s="37" t="s">
        <v>372</v>
      </c>
      <c r="B40" s="38">
        <v>46087</v>
      </c>
      <c r="C40" s="39" t="s">
        <v>70</v>
      </c>
      <c r="D40" s="52" t="s">
        <v>222</v>
      </c>
      <c r="E40" s="52" t="s">
        <v>223</v>
      </c>
      <c r="F40" s="53" t="s">
        <v>373</v>
      </c>
      <c r="G40" s="58" t="s">
        <v>374</v>
      </c>
      <c r="H40" s="39" t="s">
        <v>114</v>
      </c>
      <c r="I40" s="39"/>
      <c r="J40" s="40" t="s">
        <v>375</v>
      </c>
      <c r="K40" s="40" t="s">
        <v>376</v>
      </c>
      <c r="L40" s="39" t="s">
        <v>26</v>
      </c>
      <c r="M40" s="49">
        <v>46087</v>
      </c>
      <c r="N40" s="41" t="s">
        <v>78</v>
      </c>
      <c r="O40" s="41" t="s">
        <v>28</v>
      </c>
      <c r="P40" s="44">
        <f t="shared" ref="P40" si="18">M40-B40</f>
        <v>0</v>
      </c>
      <c r="Q40" s="49">
        <v>46087</v>
      </c>
      <c r="R40" s="46">
        <f t="shared" ref="R40" ca="1" si="19">IF(Q40-B40&lt;0,NOW()-B40,Q40-B40)</f>
        <v>0</v>
      </c>
      <c r="S40" s="39" t="s">
        <v>37</v>
      </c>
      <c r="T40" s="39" t="s">
        <v>38</v>
      </c>
      <c r="U40" s="22" t="str">
        <f ca="1">IF(R40=GENERALIDADES!$I$1,#REF!,"0")</f>
        <v>0</v>
      </c>
      <c r="V40" s="42" t="s">
        <v>39</v>
      </c>
      <c r="W40" s="42" t="s">
        <v>38</v>
      </c>
      <c r="X40" s="22" t="str">
        <f ca="1">IF(U40=GENERALIDADES!$K$3,T40,"0")</f>
        <v>0</v>
      </c>
      <c r="Y40" s="39" t="s">
        <v>52</v>
      </c>
      <c r="Z40" s="39" t="s">
        <v>29</v>
      </c>
      <c r="AA40" s="40" t="s">
        <v>377</v>
      </c>
      <c r="AB40" s="39"/>
      <c r="AC40" s="41" t="s">
        <v>32</v>
      </c>
      <c r="AD40" s="22">
        <f t="shared" si="5"/>
        <v>0</v>
      </c>
      <c r="AE40" s="24">
        <f t="shared" si="6"/>
        <v>1</v>
      </c>
      <c r="AF40" s="36" t="b">
        <f t="shared" si="7"/>
        <v>1</v>
      </c>
    </row>
    <row r="41" spans="1:32" ht="50.25">
      <c r="A41" s="37" t="s">
        <v>378</v>
      </c>
      <c r="B41" s="38">
        <v>46087</v>
      </c>
      <c r="C41" s="39" t="s">
        <v>70</v>
      </c>
      <c r="D41" s="52" t="s">
        <v>222</v>
      </c>
      <c r="E41" s="52" t="s">
        <v>223</v>
      </c>
      <c r="F41" s="53" t="s">
        <v>379</v>
      </c>
      <c r="G41" s="58" t="s">
        <v>380</v>
      </c>
      <c r="H41" s="39" t="s">
        <v>114</v>
      </c>
      <c r="I41" s="39"/>
      <c r="J41" s="40" t="s">
        <v>381</v>
      </c>
      <c r="K41" s="40" t="s">
        <v>382</v>
      </c>
      <c r="L41" s="39" t="s">
        <v>26</v>
      </c>
      <c r="M41" s="49">
        <v>46087</v>
      </c>
      <c r="N41" s="41" t="s">
        <v>78</v>
      </c>
      <c r="O41" s="41" t="s">
        <v>28</v>
      </c>
      <c r="P41" s="44">
        <f t="shared" ref="P41" si="20">M41-B41</f>
        <v>0</v>
      </c>
      <c r="Q41" s="49">
        <v>46087</v>
      </c>
      <c r="R41" s="46">
        <f t="shared" ref="R41" ca="1" si="21">IF(Q41-B41&lt;0,NOW()-B41,Q41-B41)</f>
        <v>0</v>
      </c>
      <c r="S41" s="39" t="s">
        <v>37</v>
      </c>
      <c r="T41" s="39" t="s">
        <v>38</v>
      </c>
      <c r="U41" s="22" t="str">
        <f ca="1">IF(R41=GENERALIDADES!$I$1,#REF!,"0")</f>
        <v>0</v>
      </c>
      <c r="V41" s="42" t="s">
        <v>39</v>
      </c>
      <c r="W41" s="42" t="s">
        <v>38</v>
      </c>
      <c r="X41" s="22" t="str">
        <f ca="1">IF(U41=GENERALIDADES!$K$3,T41,"0")</f>
        <v>0</v>
      </c>
      <c r="Y41" s="39" t="s">
        <v>112</v>
      </c>
      <c r="Z41" s="39" t="s">
        <v>39</v>
      </c>
      <c r="AA41" s="40"/>
      <c r="AB41" s="39"/>
      <c r="AC41" s="41" t="s">
        <v>32</v>
      </c>
      <c r="AD41" s="22">
        <f t="shared" si="5"/>
        <v>0</v>
      </c>
      <c r="AE41" s="24">
        <f t="shared" si="6"/>
        <v>1</v>
      </c>
      <c r="AF41" s="36" t="b">
        <f t="shared" si="7"/>
        <v>1</v>
      </c>
    </row>
    <row r="42" spans="1:32" ht="75.75">
      <c r="A42" s="37" t="s">
        <v>383</v>
      </c>
      <c r="B42" s="38">
        <v>46087</v>
      </c>
      <c r="C42" s="39" t="s">
        <v>70</v>
      </c>
      <c r="D42" s="52" t="s">
        <v>281</v>
      </c>
      <c r="E42" s="52" t="s">
        <v>282</v>
      </c>
      <c r="F42" s="53" t="s">
        <v>384</v>
      </c>
      <c r="G42" s="58">
        <v>549374</v>
      </c>
      <c r="H42" s="39" t="s">
        <v>155</v>
      </c>
      <c r="I42" s="39"/>
      <c r="J42" s="40" t="s">
        <v>385</v>
      </c>
      <c r="K42" s="40" t="s">
        <v>386</v>
      </c>
      <c r="L42" s="39" t="s">
        <v>26</v>
      </c>
      <c r="M42" s="49">
        <v>46092</v>
      </c>
      <c r="N42" s="41" t="s">
        <v>78</v>
      </c>
      <c r="O42" s="41" t="s">
        <v>28</v>
      </c>
      <c r="P42" s="44">
        <f t="shared" si="0"/>
        <v>5</v>
      </c>
      <c r="Q42" s="49">
        <v>46092</v>
      </c>
      <c r="R42" s="46">
        <f t="shared" ca="1" si="1"/>
        <v>5</v>
      </c>
      <c r="S42" s="39" t="s">
        <v>37</v>
      </c>
      <c r="T42" s="39" t="s">
        <v>38</v>
      </c>
      <c r="U42" s="22" t="str">
        <f ca="1">IF(R42=GENERALIDADES!$I$1,#REF!,"0")</f>
        <v>0</v>
      </c>
      <c r="V42" s="42" t="s">
        <v>39</v>
      </c>
      <c r="W42" s="42" t="s">
        <v>38</v>
      </c>
      <c r="X42" s="22" t="str">
        <f ca="1">IF(U42=GENERALIDADES!$K$3,T42,"0")</f>
        <v>0</v>
      </c>
      <c r="Y42" s="39" t="s">
        <v>59</v>
      </c>
      <c r="Z42" s="39" t="s">
        <v>29</v>
      </c>
      <c r="AA42" s="40" t="s">
        <v>387</v>
      </c>
      <c r="AB42" s="39"/>
      <c r="AC42" s="41" t="s">
        <v>32</v>
      </c>
      <c r="AD42" s="22">
        <f t="shared" si="5"/>
        <v>5</v>
      </c>
      <c r="AE42" s="24">
        <f t="shared" si="6"/>
        <v>4</v>
      </c>
      <c r="AF42" s="36" t="b">
        <f t="shared" si="7"/>
        <v>0</v>
      </c>
    </row>
    <row r="43" spans="1:32" ht="62.25">
      <c r="A43" s="37" t="s">
        <v>388</v>
      </c>
      <c r="B43" s="38">
        <v>46087</v>
      </c>
      <c r="C43" s="39" t="s">
        <v>162</v>
      </c>
      <c r="D43" s="52" t="s">
        <v>389</v>
      </c>
      <c r="E43" s="52" t="s">
        <v>390</v>
      </c>
      <c r="F43" s="53" t="s">
        <v>391</v>
      </c>
      <c r="G43" s="58" t="s">
        <v>392</v>
      </c>
      <c r="H43" s="39" t="s">
        <v>157</v>
      </c>
      <c r="I43" s="39" t="s">
        <v>302</v>
      </c>
      <c r="J43" s="40" t="s">
        <v>393</v>
      </c>
      <c r="K43" s="40" t="s">
        <v>394</v>
      </c>
      <c r="L43" s="39" t="s">
        <v>26</v>
      </c>
      <c r="M43" s="38">
        <v>46087</v>
      </c>
      <c r="N43" s="41" t="s">
        <v>78</v>
      </c>
      <c r="O43" s="41" t="s">
        <v>28</v>
      </c>
      <c r="P43" s="44">
        <f t="shared" si="0"/>
        <v>0</v>
      </c>
      <c r="Q43" s="38">
        <v>46087</v>
      </c>
      <c r="R43" s="46">
        <f t="shared" ca="1" si="1"/>
        <v>0</v>
      </c>
      <c r="S43" s="39" t="s">
        <v>37</v>
      </c>
      <c r="T43" s="39" t="s">
        <v>38</v>
      </c>
      <c r="U43" s="22" t="str">
        <f ca="1">IF(R43=GENERALIDADES!$I$1,#REF!,"0")</f>
        <v>0</v>
      </c>
      <c r="V43" s="42" t="s">
        <v>39</v>
      </c>
      <c r="W43" s="42" t="s">
        <v>38</v>
      </c>
      <c r="X43" s="22" t="str">
        <f ca="1">IF(U43=GENERALIDADES!$K$3,T43,"0")</f>
        <v>0</v>
      </c>
      <c r="Y43" s="39" t="s">
        <v>52</v>
      </c>
      <c r="Z43" s="39" t="s">
        <v>39</v>
      </c>
      <c r="AA43" s="40"/>
      <c r="AB43" s="39"/>
      <c r="AC43" s="41" t="s">
        <v>32</v>
      </c>
      <c r="AD43" s="22">
        <f t="shared" si="5"/>
        <v>0</v>
      </c>
      <c r="AE43" s="24">
        <f t="shared" si="6"/>
        <v>1</v>
      </c>
      <c r="AF43" s="36" t="b">
        <f t="shared" si="7"/>
        <v>1</v>
      </c>
    </row>
    <row r="44" spans="1:32" ht="50.25">
      <c r="A44" s="37" t="s">
        <v>395</v>
      </c>
      <c r="B44" s="38">
        <v>46087</v>
      </c>
      <c r="C44" s="39" t="s">
        <v>111</v>
      </c>
      <c r="D44" s="52"/>
      <c r="E44" s="52"/>
      <c r="F44" s="53" t="s">
        <v>396</v>
      </c>
      <c r="G44" s="58"/>
      <c r="H44" s="39" t="s">
        <v>110</v>
      </c>
      <c r="I44" s="39"/>
      <c r="J44" s="40" t="s">
        <v>397</v>
      </c>
      <c r="K44" s="40" t="s">
        <v>398</v>
      </c>
      <c r="L44" s="39" t="s">
        <v>26</v>
      </c>
      <c r="M44" s="49">
        <v>46091</v>
      </c>
      <c r="N44" s="41" t="s">
        <v>58</v>
      </c>
      <c r="O44" s="41" t="s">
        <v>51</v>
      </c>
      <c r="P44" s="44">
        <f t="shared" si="0"/>
        <v>4</v>
      </c>
      <c r="Q44" s="49">
        <v>46091</v>
      </c>
      <c r="R44" s="46">
        <f t="shared" ca="1" si="1"/>
        <v>4</v>
      </c>
      <c r="S44" s="39" t="s">
        <v>23</v>
      </c>
      <c r="T44" s="39" t="s">
        <v>48</v>
      </c>
      <c r="U44" s="22" t="str">
        <f ca="1">IF(R44=GENERALIDADES!$I$1,#REF!,"0")</f>
        <v>0</v>
      </c>
      <c r="V44" s="42" t="s">
        <v>39</v>
      </c>
      <c r="W44" s="42" t="s">
        <v>38</v>
      </c>
      <c r="X44" s="22" t="str">
        <f ca="1">IF(U44=GENERALIDADES!$K$3,T44,"0")</f>
        <v>0</v>
      </c>
      <c r="Y44" s="39" t="s">
        <v>17</v>
      </c>
      <c r="Z44" s="39" t="s">
        <v>39</v>
      </c>
      <c r="AA44" s="40"/>
      <c r="AB44" s="39"/>
      <c r="AC44" s="41" t="s">
        <v>67</v>
      </c>
      <c r="AD44" s="22">
        <f t="shared" si="5"/>
        <v>4</v>
      </c>
      <c r="AE44" s="24">
        <f t="shared" si="6"/>
        <v>3</v>
      </c>
      <c r="AF44" s="36" t="b">
        <f t="shared" si="7"/>
        <v>1</v>
      </c>
    </row>
    <row r="45" spans="1:32" ht="75.75">
      <c r="A45" s="37" t="s">
        <v>399</v>
      </c>
      <c r="B45" s="38">
        <v>46088</v>
      </c>
      <c r="C45" s="39" t="s">
        <v>111</v>
      </c>
      <c r="D45" s="52"/>
      <c r="E45" s="52"/>
      <c r="F45" s="53" t="s">
        <v>400</v>
      </c>
      <c r="G45" s="58"/>
      <c r="H45" s="39" t="s">
        <v>110</v>
      </c>
      <c r="I45" s="39"/>
      <c r="J45" s="40" t="s">
        <v>401</v>
      </c>
      <c r="K45" s="40" t="s">
        <v>402</v>
      </c>
      <c r="L45" s="39" t="s">
        <v>26</v>
      </c>
      <c r="M45" s="49">
        <v>46092</v>
      </c>
      <c r="N45" s="41" t="s">
        <v>78</v>
      </c>
      <c r="O45" s="41" t="s">
        <v>28</v>
      </c>
      <c r="P45" s="44">
        <f t="shared" si="0"/>
        <v>4</v>
      </c>
      <c r="Q45" s="49">
        <v>46092</v>
      </c>
      <c r="R45" s="46">
        <f t="shared" ca="1" si="1"/>
        <v>4</v>
      </c>
      <c r="S45" s="39" t="s">
        <v>37</v>
      </c>
      <c r="T45" s="39" t="s">
        <v>38</v>
      </c>
      <c r="U45" s="22" t="str">
        <f ca="1">IF(R45=GENERALIDADES!$I$1,#REF!,"0")</f>
        <v>0</v>
      </c>
      <c r="V45" s="42" t="s">
        <v>39</v>
      </c>
      <c r="W45" s="42" t="s">
        <v>38</v>
      </c>
      <c r="X45" s="22" t="str">
        <f ca="1">IF(U45=GENERALIDADES!$K$3,T45,"0")</f>
        <v>0</v>
      </c>
      <c r="Y45" s="39" t="s">
        <v>17</v>
      </c>
      <c r="Z45" s="39" t="s">
        <v>39</v>
      </c>
      <c r="AA45" s="40"/>
      <c r="AB45" s="39"/>
      <c r="AC45" s="41" t="s">
        <v>32</v>
      </c>
      <c r="AD45" s="22">
        <f t="shared" si="5"/>
        <v>4</v>
      </c>
      <c r="AE45" s="24">
        <f t="shared" si="6"/>
        <v>3</v>
      </c>
      <c r="AF45" s="36" t="b">
        <f t="shared" si="7"/>
        <v>1</v>
      </c>
    </row>
    <row r="46" spans="1:32" ht="62.25">
      <c r="A46" s="37" t="s">
        <v>403</v>
      </c>
      <c r="B46" s="38">
        <v>46089</v>
      </c>
      <c r="C46" s="39" t="s">
        <v>70</v>
      </c>
      <c r="D46" s="52"/>
      <c r="E46" s="52"/>
      <c r="F46" s="53"/>
      <c r="G46" s="58"/>
      <c r="H46" s="39" t="s">
        <v>149</v>
      </c>
      <c r="I46" s="39"/>
      <c r="J46" s="40" t="s">
        <v>404</v>
      </c>
      <c r="K46" s="40" t="s">
        <v>405</v>
      </c>
      <c r="L46" s="39" t="s">
        <v>26</v>
      </c>
      <c r="M46" s="49">
        <v>46097</v>
      </c>
      <c r="N46" s="41" t="s">
        <v>78</v>
      </c>
      <c r="O46" s="41" t="s">
        <v>28</v>
      </c>
      <c r="P46" s="44">
        <f t="shared" si="0"/>
        <v>8</v>
      </c>
      <c r="Q46" s="49">
        <v>46097</v>
      </c>
      <c r="R46" s="46">
        <f t="shared" ref="R46" ca="1" si="22">IF(Q46-B46&lt;0,NOW()-B46,Q46-B46)</f>
        <v>8</v>
      </c>
      <c r="S46" s="39" t="s">
        <v>37</v>
      </c>
      <c r="T46" s="39" t="s">
        <v>38</v>
      </c>
      <c r="U46" s="22" t="str">
        <f ca="1">IF(R46=GENERALIDADES!$I$1,#REF!,"0")</f>
        <v>0</v>
      </c>
      <c r="V46" s="42" t="s">
        <v>39</v>
      </c>
      <c r="W46" s="42" t="s">
        <v>38</v>
      </c>
      <c r="X46" s="22" t="str">
        <f ca="1">IF(U46=GENERALIDADES!$K$3,T46,"0")</f>
        <v>0</v>
      </c>
      <c r="Y46" s="39" t="s">
        <v>52</v>
      </c>
      <c r="Z46" s="39" t="s">
        <v>29</v>
      </c>
      <c r="AA46" s="40" t="s">
        <v>406</v>
      </c>
      <c r="AB46" s="39"/>
      <c r="AC46" s="41" t="s">
        <v>32</v>
      </c>
      <c r="AD46" s="22">
        <f t="shared" si="5"/>
        <v>8</v>
      </c>
      <c r="AE46" s="24">
        <f t="shared" si="6"/>
        <v>6</v>
      </c>
      <c r="AF46" s="36" t="b">
        <f t="shared" si="7"/>
        <v>0</v>
      </c>
    </row>
    <row r="47" spans="1:32" ht="75.75">
      <c r="A47" s="37" t="s">
        <v>407</v>
      </c>
      <c r="B47" s="38">
        <v>46090</v>
      </c>
      <c r="C47" s="39" t="s">
        <v>115</v>
      </c>
      <c r="D47" s="52" t="s">
        <v>243</v>
      </c>
      <c r="E47" s="52" t="s">
        <v>244</v>
      </c>
      <c r="F47" s="53" t="s">
        <v>245</v>
      </c>
      <c r="G47" s="58">
        <v>572798</v>
      </c>
      <c r="H47" s="39" t="s">
        <v>153</v>
      </c>
      <c r="I47" s="39"/>
      <c r="J47" s="40" t="s">
        <v>408</v>
      </c>
      <c r="K47" s="40" t="s">
        <v>409</v>
      </c>
      <c r="L47" s="39" t="s">
        <v>26</v>
      </c>
      <c r="M47" s="49">
        <v>46090</v>
      </c>
      <c r="N47" s="41" t="s">
        <v>78</v>
      </c>
      <c r="O47" s="41" t="s">
        <v>28</v>
      </c>
      <c r="P47" s="44">
        <f t="shared" si="0"/>
        <v>0</v>
      </c>
      <c r="Q47" s="49">
        <v>46090</v>
      </c>
      <c r="R47" s="46">
        <f t="shared" ca="1" si="1"/>
        <v>0</v>
      </c>
      <c r="S47" s="39" t="s">
        <v>37</v>
      </c>
      <c r="T47" s="39" t="s">
        <v>38</v>
      </c>
      <c r="U47" s="22" t="str">
        <f ca="1">IF(R47=GENERALIDADES!$I$1,#REF!,"0")</f>
        <v>0</v>
      </c>
      <c r="V47" s="42" t="s">
        <v>39</v>
      </c>
      <c r="W47" s="42" t="s">
        <v>38</v>
      </c>
      <c r="X47" s="22" t="str">
        <f ca="1">IF(U47=GENERALIDADES!$K$3,T47,"0")</f>
        <v>0</v>
      </c>
      <c r="Y47" s="39" t="s">
        <v>59</v>
      </c>
      <c r="Z47" s="39" t="s">
        <v>39</v>
      </c>
      <c r="AA47" s="40"/>
      <c r="AB47" s="39"/>
      <c r="AC47" s="41" t="s">
        <v>32</v>
      </c>
      <c r="AD47" s="22">
        <f t="shared" si="5"/>
        <v>0</v>
      </c>
      <c r="AE47" s="24">
        <f t="shared" si="6"/>
        <v>1</v>
      </c>
      <c r="AF47" s="36" t="b">
        <f t="shared" si="7"/>
        <v>1</v>
      </c>
    </row>
    <row r="48" spans="1:32" ht="75.75">
      <c r="A48" s="37" t="s">
        <v>410</v>
      </c>
      <c r="B48" s="38">
        <v>46090</v>
      </c>
      <c r="C48" s="39" t="s">
        <v>122</v>
      </c>
      <c r="D48" s="52" t="s">
        <v>312</v>
      </c>
      <c r="E48" s="52" t="s">
        <v>411</v>
      </c>
      <c r="F48" s="53">
        <v>500519</v>
      </c>
      <c r="G48" s="58">
        <v>545162</v>
      </c>
      <c r="H48" s="39" t="s">
        <v>151</v>
      </c>
      <c r="I48" s="39"/>
      <c r="J48" s="40" t="s">
        <v>412</v>
      </c>
      <c r="K48" s="40" t="s">
        <v>413</v>
      </c>
      <c r="L48" s="39" t="s">
        <v>26</v>
      </c>
      <c r="M48" s="49">
        <v>46090</v>
      </c>
      <c r="N48" s="41" t="s">
        <v>78</v>
      </c>
      <c r="O48" s="41" t="s">
        <v>28</v>
      </c>
      <c r="P48" s="44">
        <f t="shared" ref="P48" si="23">M48-B48</f>
        <v>0</v>
      </c>
      <c r="Q48" s="49">
        <v>46090</v>
      </c>
      <c r="R48" s="46">
        <f t="shared" ref="R48" ca="1" si="24">IF(Q48-B48&lt;0,NOW()-B48,Q48-B48)</f>
        <v>0</v>
      </c>
      <c r="S48" s="39" t="s">
        <v>37</v>
      </c>
      <c r="T48" s="39" t="s">
        <v>38</v>
      </c>
      <c r="U48" s="22" t="str">
        <f ca="1">IF(R48=GENERALIDADES!$I$1,#REF!,"0")</f>
        <v>0</v>
      </c>
      <c r="V48" s="42" t="s">
        <v>39</v>
      </c>
      <c r="W48" s="42" t="s">
        <v>38</v>
      </c>
      <c r="X48" s="22" t="str">
        <f ca="1">IF(U48=GENERALIDADES!$K$3,T48,"0")</f>
        <v>0</v>
      </c>
      <c r="Y48" s="39" t="s">
        <v>59</v>
      </c>
      <c r="Z48" s="39" t="s">
        <v>39</v>
      </c>
      <c r="AA48" s="40"/>
      <c r="AB48" s="39"/>
      <c r="AC48" s="41" t="s">
        <v>32</v>
      </c>
      <c r="AD48" s="22">
        <f t="shared" si="5"/>
        <v>0</v>
      </c>
      <c r="AE48" s="24">
        <f t="shared" si="6"/>
        <v>1</v>
      </c>
      <c r="AF48" s="36" t="b">
        <f t="shared" si="7"/>
        <v>1</v>
      </c>
    </row>
    <row r="49" spans="1:32" ht="50.25">
      <c r="A49" s="37" t="s">
        <v>414</v>
      </c>
      <c r="B49" s="38">
        <v>46090</v>
      </c>
      <c r="C49" s="39" t="s">
        <v>118</v>
      </c>
      <c r="D49" s="52" t="s">
        <v>415</v>
      </c>
      <c r="E49" s="52" t="s">
        <v>416</v>
      </c>
      <c r="F49" s="53" t="s">
        <v>267</v>
      </c>
      <c r="G49" s="58">
        <v>573094</v>
      </c>
      <c r="H49" s="39" t="s">
        <v>90</v>
      </c>
      <c r="I49" s="39"/>
      <c r="J49" s="40" t="s">
        <v>417</v>
      </c>
      <c r="K49" s="40" t="s">
        <v>418</v>
      </c>
      <c r="L49" s="39" t="s">
        <v>71</v>
      </c>
      <c r="M49" s="38">
        <v>46090</v>
      </c>
      <c r="N49" s="41" t="s">
        <v>78</v>
      </c>
      <c r="O49" s="41" t="s">
        <v>28</v>
      </c>
      <c r="P49" s="38">
        <v>46090</v>
      </c>
      <c r="Q49" s="38">
        <v>9</v>
      </c>
      <c r="R49" s="46">
        <f t="shared" ca="1" si="1"/>
        <v>24.649708101853321</v>
      </c>
      <c r="S49" s="39" t="s">
        <v>37</v>
      </c>
      <c r="T49" s="39" t="s">
        <v>38</v>
      </c>
      <c r="U49" s="22" t="str">
        <f ca="1">IF(R49=GENERALIDADES!$I$1,#REF!,"0")</f>
        <v>0</v>
      </c>
      <c r="V49" s="42" t="s">
        <v>39</v>
      </c>
      <c r="W49" s="42" t="s">
        <v>38</v>
      </c>
      <c r="X49" s="22" t="str">
        <f ca="1">IF(U49=GENERALIDADES!$K$3,T49,"0")</f>
        <v>0</v>
      </c>
      <c r="Y49" s="39" t="s">
        <v>116</v>
      </c>
      <c r="Z49" s="39" t="s">
        <v>39</v>
      </c>
      <c r="AA49" s="40"/>
      <c r="AB49" s="39"/>
      <c r="AC49" s="41" t="s">
        <v>32</v>
      </c>
      <c r="AD49" s="22">
        <f t="shared" si="5"/>
        <v>0</v>
      </c>
      <c r="AE49" s="24">
        <f t="shared" si="6"/>
        <v>-32916</v>
      </c>
      <c r="AF49" s="36" t="b">
        <f t="shared" si="7"/>
        <v>1</v>
      </c>
    </row>
    <row r="50" spans="1:32" ht="75.75">
      <c r="A50" s="37" t="s">
        <v>419</v>
      </c>
      <c r="B50" s="38">
        <v>46090</v>
      </c>
      <c r="C50" s="39" t="s">
        <v>70</v>
      </c>
      <c r="D50" s="52" t="s">
        <v>222</v>
      </c>
      <c r="E50" s="52" t="s">
        <v>271</v>
      </c>
      <c r="F50" s="53" t="s">
        <v>420</v>
      </c>
      <c r="G50" s="58" t="s">
        <v>421</v>
      </c>
      <c r="H50" s="39" t="s">
        <v>149</v>
      </c>
      <c r="I50" s="39"/>
      <c r="J50" s="40" t="s">
        <v>422</v>
      </c>
      <c r="K50" s="40" t="s">
        <v>423</v>
      </c>
      <c r="L50" s="39" t="s">
        <v>26</v>
      </c>
      <c r="M50" s="49">
        <v>46097</v>
      </c>
      <c r="N50" s="41" t="s">
        <v>78</v>
      </c>
      <c r="O50" s="41" t="s">
        <v>28</v>
      </c>
      <c r="P50" s="44">
        <f t="shared" ref="P50" si="25">M50-B50</f>
        <v>7</v>
      </c>
      <c r="Q50" s="49">
        <v>46097</v>
      </c>
      <c r="R50" s="46">
        <f t="shared" ca="1" si="1"/>
        <v>7</v>
      </c>
      <c r="S50" s="39" t="s">
        <v>37</v>
      </c>
      <c r="T50" s="39" t="s">
        <v>38</v>
      </c>
      <c r="U50" s="22" t="str">
        <f ca="1">IF(R50=GENERALIDADES!$I$1,#REF!,"0")</f>
        <v>0</v>
      </c>
      <c r="V50" s="42" t="s">
        <v>39</v>
      </c>
      <c r="W50" s="42" t="s">
        <v>38</v>
      </c>
      <c r="X50" s="22" t="str">
        <f ca="1">IF(U50=GENERALIDADES!$K$3,T50,"0")</f>
        <v>0</v>
      </c>
      <c r="Y50" s="39" t="s">
        <v>52</v>
      </c>
      <c r="Z50" s="39" t="s">
        <v>29</v>
      </c>
      <c r="AA50" s="40" t="s">
        <v>406</v>
      </c>
      <c r="AB50" s="39"/>
      <c r="AC50" s="41" t="s">
        <v>32</v>
      </c>
      <c r="AD50" s="22">
        <f t="shared" si="5"/>
        <v>7</v>
      </c>
      <c r="AE50" s="24">
        <f t="shared" si="6"/>
        <v>6</v>
      </c>
      <c r="AF50" s="36" t="b">
        <f t="shared" si="7"/>
        <v>0</v>
      </c>
    </row>
    <row r="51" spans="1:32" ht="75.75">
      <c r="A51" s="37" t="s">
        <v>424</v>
      </c>
      <c r="B51" s="38">
        <v>46090</v>
      </c>
      <c r="C51" s="39" t="s">
        <v>154</v>
      </c>
      <c r="D51" s="52" t="s">
        <v>249</v>
      </c>
      <c r="E51" s="52" t="s">
        <v>425</v>
      </c>
      <c r="F51" s="53" t="s">
        <v>426</v>
      </c>
      <c r="G51" s="58">
        <v>543935</v>
      </c>
      <c r="H51" s="39" t="s">
        <v>35</v>
      </c>
      <c r="I51" s="39"/>
      <c r="J51" s="40" t="s">
        <v>427</v>
      </c>
      <c r="K51" s="40" t="s">
        <v>428</v>
      </c>
      <c r="L51" s="39" t="s">
        <v>71</v>
      </c>
      <c r="M51" s="38">
        <v>46090</v>
      </c>
      <c r="N51" s="41" t="s">
        <v>78</v>
      </c>
      <c r="O51" s="41" t="s">
        <v>28</v>
      </c>
      <c r="P51" s="38">
        <v>46090</v>
      </c>
      <c r="Q51" s="38">
        <v>9</v>
      </c>
      <c r="R51" s="46">
        <f t="shared" ref="R51" ca="1" si="26">IF(Q51-B51&lt;0,NOW()-B51,Q51-B51)</f>
        <v>24.649708101853321</v>
      </c>
      <c r="S51" s="39" t="s">
        <v>37</v>
      </c>
      <c r="T51" s="39" t="s">
        <v>38</v>
      </c>
      <c r="U51" s="22" t="str">
        <f ca="1">IF(R51=GENERALIDADES!$I$1,#REF!,"0")</f>
        <v>0</v>
      </c>
      <c r="V51" s="42" t="s">
        <v>39</v>
      </c>
      <c r="W51" s="42" t="s">
        <v>38</v>
      </c>
      <c r="X51" s="22" t="str">
        <f ca="1">IF(U51=GENERALIDADES!$K$3,T51,"0")</f>
        <v>0</v>
      </c>
      <c r="Y51" s="39" t="s">
        <v>116</v>
      </c>
      <c r="Z51" s="39" t="s">
        <v>39</v>
      </c>
      <c r="AA51" s="40"/>
      <c r="AB51" s="39"/>
      <c r="AC51" s="41" t="s">
        <v>32</v>
      </c>
      <c r="AD51" s="22">
        <f t="shared" si="5"/>
        <v>0</v>
      </c>
      <c r="AE51" s="24">
        <f t="shared" si="6"/>
        <v>-32916</v>
      </c>
      <c r="AF51" s="36" t="b">
        <f t="shared" si="7"/>
        <v>1</v>
      </c>
    </row>
    <row r="52" spans="1:32" ht="75.75">
      <c r="A52" s="37" t="s">
        <v>429</v>
      </c>
      <c r="B52" s="38">
        <v>46090</v>
      </c>
      <c r="C52" s="39" t="s">
        <v>70</v>
      </c>
      <c r="D52" s="52" t="s">
        <v>222</v>
      </c>
      <c r="E52" s="52" t="s">
        <v>430</v>
      </c>
      <c r="F52" s="53" t="s">
        <v>431</v>
      </c>
      <c r="G52" s="58">
        <v>573990</v>
      </c>
      <c r="H52" s="39" t="s">
        <v>159</v>
      </c>
      <c r="I52" s="39"/>
      <c r="J52" s="40" t="s">
        <v>432</v>
      </c>
      <c r="K52" s="40" t="s">
        <v>433</v>
      </c>
      <c r="L52" s="39" t="s">
        <v>26</v>
      </c>
      <c r="M52" s="49">
        <v>46090</v>
      </c>
      <c r="N52" s="41" t="s">
        <v>78</v>
      </c>
      <c r="O52" s="41" t="s">
        <v>28</v>
      </c>
      <c r="P52" s="44">
        <f t="shared" si="0"/>
        <v>0</v>
      </c>
      <c r="Q52" s="49">
        <v>46090</v>
      </c>
      <c r="R52" s="46">
        <f t="shared" ca="1" si="1"/>
        <v>0</v>
      </c>
      <c r="S52" s="39" t="s">
        <v>37</v>
      </c>
      <c r="T52" s="39" t="s">
        <v>38</v>
      </c>
      <c r="U52" s="22" t="str">
        <f ca="1">IF(R52=GENERALIDADES!$I$1,#REF!,"0")</f>
        <v>0</v>
      </c>
      <c r="V52" s="42" t="s">
        <v>39</v>
      </c>
      <c r="W52" s="42" t="s">
        <v>38</v>
      </c>
      <c r="X52" s="22" t="str">
        <f ca="1">IF(U52=GENERALIDADES!$K$3,T52,"0")</f>
        <v>0</v>
      </c>
      <c r="Y52" s="39" t="s">
        <v>112</v>
      </c>
      <c r="Z52" s="39" t="s">
        <v>39</v>
      </c>
      <c r="AA52" s="40"/>
      <c r="AB52" s="39"/>
      <c r="AC52" s="41" t="s">
        <v>32</v>
      </c>
      <c r="AD52" s="22">
        <f t="shared" si="5"/>
        <v>0</v>
      </c>
      <c r="AE52" s="24">
        <f t="shared" si="6"/>
        <v>1</v>
      </c>
      <c r="AF52" s="36" t="b">
        <f t="shared" si="7"/>
        <v>1</v>
      </c>
    </row>
    <row r="53" spans="1:32" ht="75.75">
      <c r="A53" s="37" t="s">
        <v>434</v>
      </c>
      <c r="B53" s="38">
        <v>46090</v>
      </c>
      <c r="C53" s="39" t="s">
        <v>111</v>
      </c>
      <c r="D53" s="52"/>
      <c r="E53" s="52"/>
      <c r="F53" s="53" t="s">
        <v>435</v>
      </c>
      <c r="G53" s="58"/>
      <c r="H53" s="39" t="s">
        <v>157</v>
      </c>
      <c r="I53" s="39"/>
      <c r="J53" s="40" t="s">
        <v>436</v>
      </c>
      <c r="K53" s="40" t="s">
        <v>437</v>
      </c>
      <c r="L53" s="39" t="s">
        <v>26</v>
      </c>
      <c r="M53" s="38">
        <v>46092</v>
      </c>
      <c r="N53" s="41" t="s">
        <v>78</v>
      </c>
      <c r="O53" s="41" t="s">
        <v>28</v>
      </c>
      <c r="P53" s="44">
        <f t="shared" si="0"/>
        <v>2</v>
      </c>
      <c r="Q53" s="38">
        <v>46092</v>
      </c>
      <c r="R53" s="46">
        <f t="shared" ca="1" si="1"/>
        <v>2</v>
      </c>
      <c r="S53" s="39" t="s">
        <v>37</v>
      </c>
      <c r="T53" s="39" t="s">
        <v>38</v>
      </c>
      <c r="U53" s="22" t="str">
        <f ca="1">IF(R53=GENERALIDADES!$I$1,#REF!,"0")</f>
        <v>0</v>
      </c>
      <c r="V53" s="42" t="s">
        <v>39</v>
      </c>
      <c r="W53" s="42" t="s">
        <v>38</v>
      </c>
      <c r="X53" s="22" t="str">
        <f ca="1">IF(U53=GENERALIDADES!$K$3,T53,"0")</f>
        <v>0</v>
      </c>
      <c r="Y53" s="39" t="s">
        <v>59</v>
      </c>
      <c r="Z53" s="39" t="s">
        <v>39</v>
      </c>
      <c r="AA53" s="40"/>
      <c r="AB53" s="39"/>
      <c r="AC53" s="41" t="s">
        <v>32</v>
      </c>
      <c r="AD53" s="22">
        <f t="shared" si="5"/>
        <v>2</v>
      </c>
      <c r="AE53" s="24">
        <f t="shared" si="6"/>
        <v>3</v>
      </c>
      <c r="AF53" s="36" t="b">
        <f t="shared" si="7"/>
        <v>1</v>
      </c>
    </row>
    <row r="54" spans="1:32" ht="62.25">
      <c r="A54" s="37" t="s">
        <v>438</v>
      </c>
      <c r="B54" s="38">
        <v>46091</v>
      </c>
      <c r="C54" s="39" t="s">
        <v>124</v>
      </c>
      <c r="D54" s="52" t="s">
        <v>38</v>
      </c>
      <c r="E54" s="52" t="s">
        <v>38</v>
      </c>
      <c r="F54" s="53" t="s">
        <v>38</v>
      </c>
      <c r="G54" s="58" t="s">
        <v>38</v>
      </c>
      <c r="H54" s="39" t="s">
        <v>157</v>
      </c>
      <c r="I54" s="39"/>
      <c r="J54" s="40" t="s">
        <v>439</v>
      </c>
      <c r="K54" s="40" t="s">
        <v>440</v>
      </c>
      <c r="L54" s="39" t="s">
        <v>26</v>
      </c>
      <c r="M54" s="49">
        <v>46092</v>
      </c>
      <c r="N54" s="41" t="s">
        <v>78</v>
      </c>
      <c r="O54" s="41" t="s">
        <v>28</v>
      </c>
      <c r="P54" s="44">
        <f t="shared" si="0"/>
        <v>1</v>
      </c>
      <c r="Q54" s="49">
        <v>46092</v>
      </c>
      <c r="R54" s="46">
        <f t="shared" ca="1" si="1"/>
        <v>1</v>
      </c>
      <c r="S54" s="39" t="s">
        <v>37</v>
      </c>
      <c r="T54" s="39" t="s">
        <v>38</v>
      </c>
      <c r="U54" s="22" t="str">
        <f ca="1">IF(R54=GENERALIDADES!$I$1,#REF!,"0")</f>
        <v>0</v>
      </c>
      <c r="V54" s="42" t="s">
        <v>39</v>
      </c>
      <c r="W54" s="42" t="s">
        <v>38</v>
      </c>
      <c r="X54" s="22" t="str">
        <f ca="1">IF(U54=GENERALIDADES!$K$3,T54,"0")</f>
        <v>0</v>
      </c>
      <c r="Y54" s="39" t="s">
        <v>116</v>
      </c>
      <c r="Z54" s="39" t="s">
        <v>39</v>
      </c>
      <c r="AA54" s="40"/>
      <c r="AB54" s="39"/>
      <c r="AC54" s="41" t="s">
        <v>32</v>
      </c>
      <c r="AD54" s="22">
        <f t="shared" si="5"/>
        <v>1</v>
      </c>
      <c r="AE54" s="24">
        <f t="shared" si="6"/>
        <v>2</v>
      </c>
      <c r="AF54" s="36" t="b">
        <f t="shared" si="7"/>
        <v>1</v>
      </c>
    </row>
    <row r="55" spans="1:32" ht="75.75">
      <c r="A55" s="37" t="s">
        <v>441</v>
      </c>
      <c r="B55" s="38">
        <v>46091</v>
      </c>
      <c r="C55" s="39" t="s">
        <v>70</v>
      </c>
      <c r="D55" s="52" t="s">
        <v>222</v>
      </c>
      <c r="E55" s="52" t="s">
        <v>307</v>
      </c>
      <c r="F55" s="53" t="s">
        <v>442</v>
      </c>
      <c r="G55" s="58">
        <v>573327</v>
      </c>
      <c r="H55" s="39" t="s">
        <v>149</v>
      </c>
      <c r="I55" s="39"/>
      <c r="J55" s="40" t="s">
        <v>443</v>
      </c>
      <c r="K55" s="40" t="s">
        <v>444</v>
      </c>
      <c r="L55" s="39" t="s">
        <v>26</v>
      </c>
      <c r="M55" s="38">
        <v>46091</v>
      </c>
      <c r="N55" s="41" t="s">
        <v>78</v>
      </c>
      <c r="O55" s="41" t="s">
        <v>28</v>
      </c>
      <c r="P55" s="44">
        <f t="shared" si="0"/>
        <v>0</v>
      </c>
      <c r="Q55" s="38">
        <v>46091</v>
      </c>
      <c r="R55" s="46">
        <f t="shared" ca="1" si="1"/>
        <v>0</v>
      </c>
      <c r="S55" s="39" t="s">
        <v>37</v>
      </c>
      <c r="T55" s="39" t="s">
        <v>38</v>
      </c>
      <c r="U55" s="22" t="str">
        <f ca="1">IF(R55=GENERALIDADES!$I$1,#REF!,"0")</f>
        <v>0</v>
      </c>
      <c r="V55" s="42" t="s">
        <v>39</v>
      </c>
      <c r="W55" s="42" t="s">
        <v>38</v>
      </c>
      <c r="X55" s="22" t="str">
        <f ca="1">IF(U55=GENERALIDADES!$K$3,T55,"0")</f>
        <v>0</v>
      </c>
      <c r="Y55" s="39" t="s">
        <v>116</v>
      </c>
      <c r="Z55" s="39" t="s">
        <v>39</v>
      </c>
      <c r="AA55" s="40"/>
      <c r="AB55" s="39"/>
      <c r="AC55" s="41" t="s">
        <v>32</v>
      </c>
      <c r="AD55" s="22">
        <f t="shared" si="5"/>
        <v>0</v>
      </c>
      <c r="AE55" s="24">
        <f t="shared" si="6"/>
        <v>1</v>
      </c>
      <c r="AF55" s="36" t="b">
        <f t="shared" si="7"/>
        <v>1</v>
      </c>
    </row>
    <row r="56" spans="1:32" ht="75.75">
      <c r="A56" s="37" t="s">
        <v>445</v>
      </c>
      <c r="B56" s="38">
        <v>46091</v>
      </c>
      <c r="C56" s="39" t="s">
        <v>70</v>
      </c>
      <c r="D56" s="52" t="s">
        <v>222</v>
      </c>
      <c r="E56" s="52" t="s">
        <v>307</v>
      </c>
      <c r="F56" s="53" t="s">
        <v>442</v>
      </c>
      <c r="G56" s="58">
        <v>573327</v>
      </c>
      <c r="H56" s="39" t="s">
        <v>119</v>
      </c>
      <c r="I56" s="39"/>
      <c r="J56" s="40" t="s">
        <v>446</v>
      </c>
      <c r="K56" s="40" t="s">
        <v>444</v>
      </c>
      <c r="L56" s="39" t="s">
        <v>26</v>
      </c>
      <c r="M56" s="38">
        <v>46091</v>
      </c>
      <c r="N56" s="41" t="s">
        <v>78</v>
      </c>
      <c r="O56" s="41" t="s">
        <v>28</v>
      </c>
      <c r="P56" s="44">
        <f t="shared" ref="P56" si="27">M56-B56</f>
        <v>0</v>
      </c>
      <c r="Q56" s="38">
        <v>46091</v>
      </c>
      <c r="R56" s="46">
        <f t="shared" ref="R56" ca="1" si="28">IF(Q56-B56&lt;0,NOW()-B56,Q56-B56)</f>
        <v>0</v>
      </c>
      <c r="S56" s="39" t="s">
        <v>37</v>
      </c>
      <c r="T56" s="39" t="s">
        <v>38</v>
      </c>
      <c r="U56" s="22" t="str">
        <f ca="1">IF(R56=GENERALIDADES!$I$1,#REF!,"0")</f>
        <v>0</v>
      </c>
      <c r="V56" s="42" t="s">
        <v>39</v>
      </c>
      <c r="W56" s="42" t="s">
        <v>38</v>
      </c>
      <c r="X56" s="22" t="str">
        <f ca="1">IF(U56=GENERALIDADES!$K$3,T56,"0")</f>
        <v>0</v>
      </c>
      <c r="Y56" s="39" t="s">
        <v>116</v>
      </c>
      <c r="Z56" s="39" t="s">
        <v>39</v>
      </c>
      <c r="AA56" s="40"/>
      <c r="AB56" s="39"/>
      <c r="AC56" s="41" t="s">
        <v>32</v>
      </c>
      <c r="AD56" s="22">
        <f t="shared" si="5"/>
        <v>0</v>
      </c>
      <c r="AE56" s="24">
        <f t="shared" si="6"/>
        <v>1</v>
      </c>
      <c r="AF56" s="36" t="b">
        <f t="shared" si="7"/>
        <v>1</v>
      </c>
    </row>
    <row r="57" spans="1:32" ht="62.25">
      <c r="A57" s="37" t="s">
        <v>447</v>
      </c>
      <c r="B57" s="38">
        <v>46091</v>
      </c>
      <c r="C57" s="39" t="s">
        <v>111</v>
      </c>
      <c r="D57" s="52"/>
      <c r="E57" s="52"/>
      <c r="F57" s="53" t="s">
        <v>448</v>
      </c>
      <c r="G57" s="58"/>
      <c r="H57" s="39" t="s">
        <v>143</v>
      </c>
      <c r="I57" s="39"/>
      <c r="J57" s="40" t="s">
        <v>449</v>
      </c>
      <c r="K57" s="40" t="s">
        <v>450</v>
      </c>
      <c r="L57" s="39" t="s">
        <v>26</v>
      </c>
      <c r="M57" s="49">
        <v>46099</v>
      </c>
      <c r="N57" s="41" t="s">
        <v>78</v>
      </c>
      <c r="O57" s="41" t="s">
        <v>28</v>
      </c>
      <c r="P57" s="44">
        <f t="shared" si="0"/>
        <v>8</v>
      </c>
      <c r="Q57" s="49">
        <v>46099</v>
      </c>
      <c r="R57" s="46">
        <f t="shared" ca="1" si="1"/>
        <v>8</v>
      </c>
      <c r="S57" s="39" t="s">
        <v>37</v>
      </c>
      <c r="T57" s="39" t="s">
        <v>38</v>
      </c>
      <c r="U57" s="22" t="str">
        <f ca="1">IF(R57=GENERALIDADES!$I$1,#REF!,"0")</f>
        <v>0</v>
      </c>
      <c r="V57" s="42" t="s">
        <v>39</v>
      </c>
      <c r="W57" s="42" t="s">
        <v>38</v>
      </c>
      <c r="X57" s="22" t="str">
        <f ca="1">IF(U57=GENERALIDADES!$K$3,T57,"0")</f>
        <v>0</v>
      </c>
      <c r="Y57" s="39" t="s">
        <v>59</v>
      </c>
      <c r="Z57" s="39" t="s">
        <v>39</v>
      </c>
      <c r="AA57" s="40"/>
      <c r="AB57" s="39"/>
      <c r="AC57" s="41" t="s">
        <v>32</v>
      </c>
      <c r="AD57" s="22">
        <f t="shared" si="5"/>
        <v>8</v>
      </c>
      <c r="AE57" s="24">
        <f t="shared" si="6"/>
        <v>7</v>
      </c>
      <c r="AF57" s="36" t="b">
        <f t="shared" si="7"/>
        <v>0</v>
      </c>
    </row>
    <row r="58" spans="1:32" ht="88.5">
      <c r="A58" s="37" t="s">
        <v>451</v>
      </c>
      <c r="B58" s="38">
        <v>46092</v>
      </c>
      <c r="C58" s="39" t="s">
        <v>70</v>
      </c>
      <c r="D58" s="52" t="s">
        <v>281</v>
      </c>
      <c r="E58" s="52" t="s">
        <v>282</v>
      </c>
      <c r="F58" s="53" t="s">
        <v>452</v>
      </c>
      <c r="G58" s="58">
        <v>545465</v>
      </c>
      <c r="H58" s="39" t="s">
        <v>149</v>
      </c>
      <c r="I58" s="39"/>
      <c r="J58" s="40" t="s">
        <v>453</v>
      </c>
      <c r="K58" s="40" t="s">
        <v>454</v>
      </c>
      <c r="L58" s="39" t="s">
        <v>26</v>
      </c>
      <c r="M58" s="49">
        <v>46093</v>
      </c>
      <c r="N58" s="41" t="s">
        <v>78</v>
      </c>
      <c r="O58" s="41" t="s">
        <v>28</v>
      </c>
      <c r="P58" s="44">
        <f t="shared" si="0"/>
        <v>1</v>
      </c>
      <c r="Q58" s="49">
        <v>46093</v>
      </c>
      <c r="R58" s="46">
        <f t="shared" ca="1" si="1"/>
        <v>1</v>
      </c>
      <c r="S58" s="39" t="s">
        <v>37</v>
      </c>
      <c r="T58" s="39" t="s">
        <v>38</v>
      </c>
      <c r="U58" s="22" t="str">
        <f ca="1">IF(R58=GENERALIDADES!$I$1,#REF!,"0")</f>
        <v>0</v>
      </c>
      <c r="V58" s="42" t="s">
        <v>39</v>
      </c>
      <c r="W58" s="42" t="s">
        <v>38</v>
      </c>
      <c r="X58" s="22" t="str">
        <f ca="1">IF(U58=GENERALIDADES!$K$3,T58,"0")</f>
        <v>0</v>
      </c>
      <c r="Y58" s="39" t="s">
        <v>59</v>
      </c>
      <c r="Z58" s="39" t="s">
        <v>39</v>
      </c>
      <c r="AA58" s="40"/>
      <c r="AB58" s="39"/>
      <c r="AC58" s="41" t="s">
        <v>32</v>
      </c>
      <c r="AD58" s="22">
        <f t="shared" si="5"/>
        <v>1</v>
      </c>
      <c r="AE58" s="24">
        <f t="shared" si="6"/>
        <v>2</v>
      </c>
      <c r="AF58" s="36" t="b">
        <f t="shared" si="7"/>
        <v>1</v>
      </c>
    </row>
    <row r="59" spans="1:32" ht="62.25">
      <c r="A59" s="37" t="s">
        <v>455</v>
      </c>
      <c r="B59" s="38">
        <v>46092</v>
      </c>
      <c r="C59" s="39" t="s">
        <v>70</v>
      </c>
      <c r="D59" s="52" t="s">
        <v>222</v>
      </c>
      <c r="E59" s="52" t="s">
        <v>223</v>
      </c>
      <c r="F59" s="53" t="s">
        <v>255</v>
      </c>
      <c r="G59" s="58">
        <v>545695</v>
      </c>
      <c r="H59" s="39" t="s">
        <v>98</v>
      </c>
      <c r="I59" s="39"/>
      <c r="J59" s="40" t="s">
        <v>456</v>
      </c>
      <c r="K59" s="40" t="s">
        <v>457</v>
      </c>
      <c r="L59" s="39" t="s">
        <v>26</v>
      </c>
      <c r="M59" s="49">
        <v>46092</v>
      </c>
      <c r="N59" s="41" t="s">
        <v>78</v>
      </c>
      <c r="O59" s="41" t="s">
        <v>28</v>
      </c>
      <c r="P59" s="44">
        <f t="shared" si="0"/>
        <v>0</v>
      </c>
      <c r="Q59" s="49">
        <v>11</v>
      </c>
      <c r="R59" s="46">
        <f t="shared" ca="1" si="1"/>
        <v>22.649708101853321</v>
      </c>
      <c r="S59" s="39" t="s">
        <v>37</v>
      </c>
      <c r="T59" s="39" t="s">
        <v>38</v>
      </c>
      <c r="U59" s="22" t="str">
        <f ca="1">IF(R59=GENERALIDADES!$I$1,#REF!,"0")</f>
        <v>0</v>
      </c>
      <c r="V59" s="42" t="s">
        <v>39</v>
      </c>
      <c r="W59" s="42" t="s">
        <v>38</v>
      </c>
      <c r="X59" s="22" t="str">
        <f ca="1">IF(U59=GENERALIDADES!$K$3,T59,"0")</f>
        <v>0</v>
      </c>
      <c r="Y59" s="39" t="s">
        <v>116</v>
      </c>
      <c r="Z59" s="39" t="s">
        <v>39</v>
      </c>
      <c r="AA59" s="40"/>
      <c r="AB59" s="39"/>
      <c r="AC59" s="41" t="s">
        <v>32</v>
      </c>
      <c r="AD59" s="22">
        <f t="shared" si="5"/>
        <v>0</v>
      </c>
      <c r="AE59" s="24">
        <f t="shared" si="6"/>
        <v>-32916</v>
      </c>
      <c r="AF59" s="36" t="b">
        <f t="shared" si="7"/>
        <v>1</v>
      </c>
    </row>
    <row r="60" spans="1:32" ht="88.5">
      <c r="A60" s="37" t="s">
        <v>458</v>
      </c>
      <c r="B60" s="38">
        <v>46092</v>
      </c>
      <c r="C60" s="39" t="s">
        <v>146</v>
      </c>
      <c r="D60" s="52" t="s">
        <v>38</v>
      </c>
      <c r="E60" s="52" t="s">
        <v>38</v>
      </c>
      <c r="F60" s="53" t="s">
        <v>38</v>
      </c>
      <c r="G60" s="58" t="s">
        <v>38</v>
      </c>
      <c r="H60" s="39" t="s">
        <v>141</v>
      </c>
      <c r="I60" s="39" t="s">
        <v>459</v>
      </c>
      <c r="J60" s="40" t="s">
        <v>460</v>
      </c>
      <c r="K60" s="40" t="s">
        <v>461</v>
      </c>
      <c r="L60" s="39" t="s">
        <v>40</v>
      </c>
      <c r="M60" s="49">
        <v>46092</v>
      </c>
      <c r="N60" s="41" t="s">
        <v>78</v>
      </c>
      <c r="O60" s="41" t="s">
        <v>28</v>
      </c>
      <c r="P60" s="44">
        <f t="shared" si="0"/>
        <v>0</v>
      </c>
      <c r="Q60" s="49">
        <v>46092</v>
      </c>
      <c r="R60" s="46">
        <f t="shared" ca="1" si="1"/>
        <v>0</v>
      </c>
      <c r="S60" s="39" t="s">
        <v>37</v>
      </c>
      <c r="T60" s="39" t="s">
        <v>38</v>
      </c>
      <c r="U60" s="22" t="str">
        <f ca="1">IF(R60=GENERALIDADES!$I$1,#REF!,"0")</f>
        <v>0</v>
      </c>
      <c r="V60" s="42" t="s">
        <v>39</v>
      </c>
      <c r="W60" s="42" t="s">
        <v>38</v>
      </c>
      <c r="X60" s="22" t="str">
        <f ca="1">IF(U60=GENERALIDADES!$K$3,T60,"0")</f>
        <v>0</v>
      </c>
      <c r="Y60" s="39" t="s">
        <v>116</v>
      </c>
      <c r="Z60" s="39" t="s">
        <v>39</v>
      </c>
      <c r="AA60" s="40"/>
      <c r="AB60" s="39"/>
      <c r="AC60" s="41" t="s">
        <v>32</v>
      </c>
      <c r="AD60" s="22">
        <f t="shared" si="5"/>
        <v>0</v>
      </c>
      <c r="AE60" s="24">
        <f t="shared" si="6"/>
        <v>1</v>
      </c>
      <c r="AF60" s="36" t="b">
        <f t="shared" si="7"/>
        <v>1</v>
      </c>
    </row>
    <row r="61" spans="1:32" ht="88.5">
      <c r="A61" s="37" t="s">
        <v>462</v>
      </c>
      <c r="B61" s="38">
        <v>46092</v>
      </c>
      <c r="C61" s="39" t="s">
        <v>70</v>
      </c>
      <c r="D61" s="52" t="s">
        <v>38</v>
      </c>
      <c r="E61" s="52" t="s">
        <v>38</v>
      </c>
      <c r="F61" s="53" t="s">
        <v>38</v>
      </c>
      <c r="G61" s="58" t="s">
        <v>38</v>
      </c>
      <c r="H61" s="39" t="s">
        <v>157</v>
      </c>
      <c r="I61" s="39"/>
      <c r="J61" s="40" t="s">
        <v>463</v>
      </c>
      <c r="K61" s="40" t="s">
        <v>464</v>
      </c>
      <c r="L61" s="39" t="s">
        <v>26</v>
      </c>
      <c r="M61" s="38">
        <v>46092</v>
      </c>
      <c r="N61" s="41" t="s">
        <v>78</v>
      </c>
      <c r="O61" s="41" t="s">
        <v>28</v>
      </c>
      <c r="P61" s="44">
        <f t="shared" si="0"/>
        <v>0</v>
      </c>
      <c r="Q61" s="38">
        <v>46092</v>
      </c>
      <c r="R61" s="46">
        <f t="shared" ca="1" si="1"/>
        <v>0</v>
      </c>
      <c r="S61" s="39" t="s">
        <v>37</v>
      </c>
      <c r="T61" s="39" t="s">
        <v>38</v>
      </c>
      <c r="U61" s="22" t="str">
        <f ca="1">IF(R61=GENERALIDADES!$I$1,#REF!,"0")</f>
        <v>0</v>
      </c>
      <c r="V61" s="42" t="s">
        <v>39</v>
      </c>
      <c r="W61" s="42" t="s">
        <v>38</v>
      </c>
      <c r="X61" s="22" t="str">
        <f ca="1">IF(U61=GENERALIDADES!$K$3,T61,"0")</f>
        <v>0</v>
      </c>
      <c r="Y61" s="39" t="s">
        <v>112</v>
      </c>
      <c r="Z61" s="39" t="s">
        <v>39</v>
      </c>
      <c r="AA61" s="40"/>
      <c r="AB61" s="39"/>
      <c r="AC61" s="41" t="s">
        <v>32</v>
      </c>
      <c r="AD61" s="22">
        <f t="shared" si="5"/>
        <v>0</v>
      </c>
      <c r="AE61" s="24">
        <f t="shared" si="6"/>
        <v>1</v>
      </c>
      <c r="AF61" s="36" t="b">
        <f t="shared" si="7"/>
        <v>1</v>
      </c>
    </row>
    <row r="62" spans="1:32" ht="62.25">
      <c r="A62" s="37" t="s">
        <v>465</v>
      </c>
      <c r="B62" s="38">
        <v>46092</v>
      </c>
      <c r="C62" s="39" t="s">
        <v>136</v>
      </c>
      <c r="D62" s="52" t="s">
        <v>466</v>
      </c>
      <c r="E62" s="52" t="s">
        <v>467</v>
      </c>
      <c r="F62" s="53" t="s">
        <v>468</v>
      </c>
      <c r="G62" s="58" t="s">
        <v>469</v>
      </c>
      <c r="H62" s="39" t="s">
        <v>141</v>
      </c>
      <c r="I62" s="39"/>
      <c r="J62" s="40" t="s">
        <v>470</v>
      </c>
      <c r="K62" s="40" t="s">
        <v>471</v>
      </c>
      <c r="L62" s="39" t="s">
        <v>26</v>
      </c>
      <c r="M62" s="38">
        <v>46092</v>
      </c>
      <c r="N62" s="41" t="s">
        <v>58</v>
      </c>
      <c r="O62" s="41" t="s">
        <v>51</v>
      </c>
      <c r="P62" s="44">
        <f t="shared" si="0"/>
        <v>0</v>
      </c>
      <c r="Q62" s="38">
        <v>46092</v>
      </c>
      <c r="R62" s="46">
        <f t="shared" ca="1" si="1"/>
        <v>0</v>
      </c>
      <c r="S62" s="39" t="s">
        <v>23</v>
      </c>
      <c r="T62" s="39" t="s">
        <v>48</v>
      </c>
      <c r="U62" s="22" t="str">
        <f ca="1">IF(R62=GENERALIDADES!$I$1,#REF!,"0")</f>
        <v>0</v>
      </c>
      <c r="V62" s="42" t="s">
        <v>39</v>
      </c>
      <c r="W62" s="42" t="s">
        <v>25</v>
      </c>
      <c r="X62" s="22" t="str">
        <f ca="1">IF(U62=GENERALIDADES!$K$3,T62,"0")</f>
        <v>0</v>
      </c>
      <c r="Y62" s="39" t="s">
        <v>59</v>
      </c>
      <c r="Z62" s="39" t="s">
        <v>39</v>
      </c>
      <c r="AA62" s="40"/>
      <c r="AB62" s="39"/>
      <c r="AC62" s="41" t="s">
        <v>67</v>
      </c>
      <c r="AD62" s="22">
        <f t="shared" si="5"/>
        <v>0</v>
      </c>
      <c r="AE62" s="24">
        <f t="shared" si="6"/>
        <v>1</v>
      </c>
      <c r="AF62" s="36" t="b">
        <f t="shared" si="7"/>
        <v>1</v>
      </c>
    </row>
    <row r="63" spans="1:32" ht="75.75">
      <c r="A63" s="37" t="s">
        <v>472</v>
      </c>
      <c r="B63" s="38">
        <v>46092</v>
      </c>
      <c r="C63" s="39" t="s">
        <v>115</v>
      </c>
      <c r="D63" s="52" t="s">
        <v>243</v>
      </c>
      <c r="E63" s="52" t="s">
        <v>244</v>
      </c>
      <c r="F63" s="53" t="s">
        <v>245</v>
      </c>
      <c r="G63" s="58">
        <v>572798</v>
      </c>
      <c r="H63" s="39" t="s">
        <v>153</v>
      </c>
      <c r="I63" s="39"/>
      <c r="J63" s="40" t="s">
        <v>473</v>
      </c>
      <c r="K63" s="40" t="s">
        <v>474</v>
      </c>
      <c r="L63" s="39" t="s">
        <v>26</v>
      </c>
      <c r="M63" s="49">
        <v>46092</v>
      </c>
      <c r="N63" s="41" t="s">
        <v>78</v>
      </c>
      <c r="O63" s="41" t="s">
        <v>28</v>
      </c>
      <c r="P63" s="44">
        <f t="shared" si="0"/>
        <v>0</v>
      </c>
      <c r="Q63" s="49">
        <v>46092</v>
      </c>
      <c r="R63" s="46">
        <f t="shared" ca="1" si="1"/>
        <v>0</v>
      </c>
      <c r="S63" s="39" t="s">
        <v>37</v>
      </c>
      <c r="T63" s="39" t="s">
        <v>38</v>
      </c>
      <c r="U63" s="22" t="str">
        <f ca="1">IF(R63=GENERALIDADES!$I$1,#REF!,"0")</f>
        <v>0</v>
      </c>
      <c r="V63" s="42" t="s">
        <v>39</v>
      </c>
      <c r="W63" s="42" t="s">
        <v>38</v>
      </c>
      <c r="X63" s="22" t="str">
        <f ca="1">IF(U63=GENERALIDADES!$K$3,T63,"0")</f>
        <v>0</v>
      </c>
      <c r="Y63" s="39" t="s">
        <v>59</v>
      </c>
      <c r="Z63" s="39" t="s">
        <v>39</v>
      </c>
      <c r="AA63" s="40"/>
      <c r="AB63" s="39"/>
      <c r="AC63" s="41" t="s">
        <v>32</v>
      </c>
      <c r="AD63" s="22">
        <f t="shared" si="5"/>
        <v>0</v>
      </c>
      <c r="AE63" s="24">
        <f t="shared" si="6"/>
        <v>1</v>
      </c>
      <c r="AF63" s="36" t="b">
        <f t="shared" si="7"/>
        <v>1</v>
      </c>
    </row>
    <row r="64" spans="1:32" ht="75.75">
      <c r="A64" s="37" t="s">
        <v>475</v>
      </c>
      <c r="B64" s="38">
        <v>46092</v>
      </c>
      <c r="C64" s="39" t="s">
        <v>115</v>
      </c>
      <c r="D64" s="52" t="s">
        <v>476</v>
      </c>
      <c r="E64" s="52" t="s">
        <v>477</v>
      </c>
      <c r="F64" s="53">
        <v>190800774</v>
      </c>
      <c r="G64" s="58">
        <v>574288</v>
      </c>
      <c r="H64" s="39" t="s">
        <v>153</v>
      </c>
      <c r="I64" s="39"/>
      <c r="J64" s="40" t="s">
        <v>478</v>
      </c>
      <c r="K64" s="40" t="s">
        <v>479</v>
      </c>
      <c r="L64" s="39" t="s">
        <v>26</v>
      </c>
      <c r="M64" s="49">
        <v>46092</v>
      </c>
      <c r="N64" s="41" t="s">
        <v>78</v>
      </c>
      <c r="O64" s="41" t="s">
        <v>28</v>
      </c>
      <c r="P64" s="44">
        <f t="shared" si="0"/>
        <v>0</v>
      </c>
      <c r="Q64" s="49">
        <v>46092</v>
      </c>
      <c r="R64" s="46">
        <f t="shared" ca="1" si="1"/>
        <v>0</v>
      </c>
      <c r="S64" s="39" t="s">
        <v>37</v>
      </c>
      <c r="T64" s="39" t="s">
        <v>38</v>
      </c>
      <c r="U64" s="22" t="str">
        <f ca="1">IF(R64=GENERALIDADES!$I$1,#REF!,"0")</f>
        <v>0</v>
      </c>
      <c r="V64" s="42" t="s">
        <v>39</v>
      </c>
      <c r="W64" s="42" t="s">
        <v>38</v>
      </c>
      <c r="X64" s="22" t="str">
        <f ca="1">IF(U64=GENERALIDADES!$K$3,T64,"0")</f>
        <v>0</v>
      </c>
      <c r="Y64" s="39" t="s">
        <v>59</v>
      </c>
      <c r="Z64" s="39" t="s">
        <v>39</v>
      </c>
      <c r="AA64" s="40"/>
      <c r="AB64" s="39"/>
      <c r="AC64" s="41" t="s">
        <v>32</v>
      </c>
      <c r="AD64" s="22">
        <f t="shared" si="5"/>
        <v>0</v>
      </c>
      <c r="AE64" s="24">
        <f t="shared" si="6"/>
        <v>1</v>
      </c>
      <c r="AF64" s="36" t="b">
        <f t="shared" si="7"/>
        <v>1</v>
      </c>
    </row>
    <row r="65" spans="1:32" ht="88.5">
      <c r="A65" s="37" t="s">
        <v>480</v>
      </c>
      <c r="B65" s="38">
        <v>46092</v>
      </c>
      <c r="C65" s="39" t="s">
        <v>70</v>
      </c>
      <c r="D65" s="52" t="s">
        <v>281</v>
      </c>
      <c r="E65" s="52" t="s">
        <v>282</v>
      </c>
      <c r="F65" s="53" t="s">
        <v>481</v>
      </c>
      <c r="G65" s="58">
        <v>545782</v>
      </c>
      <c r="H65" s="39" t="s">
        <v>155</v>
      </c>
      <c r="I65" s="39"/>
      <c r="J65" s="40" t="s">
        <v>482</v>
      </c>
      <c r="K65" s="40" t="s">
        <v>483</v>
      </c>
      <c r="L65" s="39" t="s">
        <v>26</v>
      </c>
      <c r="M65" s="49">
        <v>46092</v>
      </c>
      <c r="N65" s="41" t="s">
        <v>78</v>
      </c>
      <c r="O65" s="41" t="s">
        <v>28</v>
      </c>
      <c r="P65" s="44">
        <f t="shared" ref="P65:P126" si="29">M65-B65</f>
        <v>0</v>
      </c>
      <c r="Q65" s="49">
        <v>46092</v>
      </c>
      <c r="R65" s="46">
        <f t="shared" ref="R65:R126" ca="1" si="30">IF(Q65-B65&lt;0,NOW()-B65,Q65-B65)</f>
        <v>0</v>
      </c>
      <c r="S65" s="39" t="s">
        <v>37</v>
      </c>
      <c r="T65" s="39" t="s">
        <v>38</v>
      </c>
      <c r="U65" s="22" t="str">
        <f ca="1">IF(R65=GENERALIDADES!$I$1,#REF!,"0")</f>
        <v>0</v>
      </c>
      <c r="V65" s="42" t="s">
        <v>39</v>
      </c>
      <c r="W65" s="42" t="s">
        <v>38</v>
      </c>
      <c r="X65" s="22" t="str">
        <f ca="1">IF(U65=GENERALIDADES!$K$3,T65,"0")</f>
        <v>0</v>
      </c>
      <c r="Y65" s="39" t="s">
        <v>59</v>
      </c>
      <c r="Z65" s="39" t="s">
        <v>29</v>
      </c>
      <c r="AA65" s="40" t="s">
        <v>387</v>
      </c>
      <c r="AB65" s="39"/>
      <c r="AC65" s="41" t="s">
        <v>32</v>
      </c>
      <c r="AD65" s="22">
        <f t="shared" si="5"/>
        <v>0</v>
      </c>
      <c r="AE65" s="24">
        <f t="shared" si="6"/>
        <v>1</v>
      </c>
      <c r="AF65" s="36" t="b">
        <f t="shared" si="7"/>
        <v>1</v>
      </c>
    </row>
    <row r="66" spans="1:32" ht="62.25">
      <c r="A66" s="37" t="s">
        <v>484</v>
      </c>
      <c r="B66" s="38">
        <v>46092</v>
      </c>
      <c r="C66" s="39" t="s">
        <v>70</v>
      </c>
      <c r="D66" s="52" t="s">
        <v>38</v>
      </c>
      <c r="E66" s="52" t="s">
        <v>38</v>
      </c>
      <c r="F66" s="53" t="s">
        <v>38</v>
      </c>
      <c r="G66" s="58" t="s">
        <v>38</v>
      </c>
      <c r="H66" s="39" t="s">
        <v>141</v>
      </c>
      <c r="I66" s="39"/>
      <c r="J66" s="40" t="s">
        <v>485</v>
      </c>
      <c r="K66" s="40" t="s">
        <v>486</v>
      </c>
      <c r="L66" s="39" t="s">
        <v>40</v>
      </c>
      <c r="M66" s="49">
        <v>46093</v>
      </c>
      <c r="N66" s="41" t="s">
        <v>78</v>
      </c>
      <c r="O66" s="41" t="s">
        <v>28</v>
      </c>
      <c r="P66" s="44">
        <f t="shared" si="29"/>
        <v>1</v>
      </c>
      <c r="Q66" s="49">
        <v>46093</v>
      </c>
      <c r="R66" s="46">
        <f t="shared" ca="1" si="30"/>
        <v>1</v>
      </c>
      <c r="S66" s="39" t="s">
        <v>37</v>
      </c>
      <c r="T66" s="39" t="s">
        <v>38</v>
      </c>
      <c r="U66" s="22" t="str">
        <f ca="1">IF(R66=GENERALIDADES!$I$1,#REF!,"0")</f>
        <v>0</v>
      </c>
      <c r="V66" s="42" t="s">
        <v>39</v>
      </c>
      <c r="W66" s="42" t="s">
        <v>38</v>
      </c>
      <c r="X66" s="22" t="str">
        <f ca="1">IF(U66=GENERALIDADES!$K$3,T66,"0")</f>
        <v>0</v>
      </c>
      <c r="Y66" s="39" t="s">
        <v>52</v>
      </c>
      <c r="Z66" s="39" t="s">
        <v>39</v>
      </c>
      <c r="AA66" s="40"/>
      <c r="AB66" s="39"/>
      <c r="AC66" s="41" t="s">
        <v>32</v>
      </c>
      <c r="AD66" s="22">
        <f t="shared" ref="AD66:AD126" si="31">M66-B66</f>
        <v>1</v>
      </c>
      <c r="AE66" s="24">
        <f t="shared" ref="AE66:AE126" si="32">NETWORKDAYS(B66,Q66,)</f>
        <v>2</v>
      </c>
      <c r="AF66" s="36" t="b">
        <f t="shared" ref="AF66:AF126" si="33">IF(AND((NETWORKDAYS(B66,M66,)&lt;=3),(NOT(ISBLANK(B66)))),TRUE(), FALSE())</f>
        <v>1</v>
      </c>
    </row>
    <row r="67" spans="1:32" ht="138">
      <c r="A67" s="37" t="s">
        <v>487</v>
      </c>
      <c r="B67" s="38">
        <v>46092</v>
      </c>
      <c r="C67" s="39" t="s">
        <v>160</v>
      </c>
      <c r="D67" s="52"/>
      <c r="E67" s="52"/>
      <c r="F67" s="53"/>
      <c r="G67" s="58"/>
      <c r="H67" s="39" t="s">
        <v>149</v>
      </c>
      <c r="I67" s="39"/>
      <c r="J67" s="40" t="s">
        <v>488</v>
      </c>
      <c r="K67" s="40" t="s">
        <v>489</v>
      </c>
      <c r="L67" s="39" t="s">
        <v>26</v>
      </c>
      <c r="M67" s="49">
        <v>46092</v>
      </c>
      <c r="N67" s="41" t="s">
        <v>58</v>
      </c>
      <c r="O67" s="41" t="s">
        <v>28</v>
      </c>
      <c r="P67" s="44">
        <f t="shared" si="29"/>
        <v>0</v>
      </c>
      <c r="Q67" s="49">
        <v>46092</v>
      </c>
      <c r="R67" s="46">
        <f t="shared" ca="1" si="30"/>
        <v>0</v>
      </c>
      <c r="S67" s="39" t="s">
        <v>37</v>
      </c>
      <c r="T67" s="39" t="s">
        <v>38</v>
      </c>
      <c r="U67" s="22" t="str">
        <f ca="1">IF(R67=GENERALIDADES!$I$1,#REF!,"0")</f>
        <v>0</v>
      </c>
      <c r="V67" s="42" t="s">
        <v>39</v>
      </c>
      <c r="W67" s="42" t="s">
        <v>38</v>
      </c>
      <c r="X67" s="22" t="str">
        <f ca="1">IF(U67=GENERALIDADES!$K$3,T67,"0")</f>
        <v>0</v>
      </c>
      <c r="Y67" s="39" t="s">
        <v>59</v>
      </c>
      <c r="Z67" s="39" t="s">
        <v>39</v>
      </c>
      <c r="AA67" s="40"/>
      <c r="AB67" s="39"/>
      <c r="AC67" s="41" t="s">
        <v>67</v>
      </c>
      <c r="AD67" s="22">
        <f t="shared" si="31"/>
        <v>0</v>
      </c>
      <c r="AE67" s="24">
        <f t="shared" si="32"/>
        <v>1</v>
      </c>
      <c r="AF67" s="36" t="b">
        <f t="shared" si="33"/>
        <v>1</v>
      </c>
    </row>
    <row r="68" spans="1:32" ht="62.25">
      <c r="A68" s="18" t="s">
        <v>490</v>
      </c>
      <c r="B68" s="38">
        <v>46092</v>
      </c>
      <c r="C68" s="19" t="s">
        <v>70</v>
      </c>
      <c r="D68" s="52" t="s">
        <v>38</v>
      </c>
      <c r="E68" s="52" t="s">
        <v>38</v>
      </c>
      <c r="F68" s="53" t="s">
        <v>38</v>
      </c>
      <c r="G68" s="58" t="s">
        <v>38</v>
      </c>
      <c r="H68" s="19" t="s">
        <v>119</v>
      </c>
      <c r="I68" s="19"/>
      <c r="J68" s="20" t="s">
        <v>491</v>
      </c>
      <c r="K68" s="20" t="s">
        <v>492</v>
      </c>
      <c r="L68" s="19" t="s">
        <v>26</v>
      </c>
      <c r="M68" s="48">
        <v>46093</v>
      </c>
      <c r="N68" s="41" t="s">
        <v>78</v>
      </c>
      <c r="O68" s="21" t="s">
        <v>28</v>
      </c>
      <c r="P68" s="44">
        <f t="shared" si="29"/>
        <v>1</v>
      </c>
      <c r="Q68" s="48">
        <v>46093</v>
      </c>
      <c r="R68" s="46">
        <f t="shared" ca="1" si="30"/>
        <v>1</v>
      </c>
      <c r="S68" s="19" t="s">
        <v>37</v>
      </c>
      <c r="T68" s="19" t="s">
        <v>38</v>
      </c>
      <c r="U68" s="22" t="str">
        <f ca="1">IF(R68=GENERALIDADES!$I$1,#REF!,"0")</f>
        <v>0</v>
      </c>
      <c r="V68" s="23" t="s">
        <v>39</v>
      </c>
      <c r="W68" s="23" t="s">
        <v>38</v>
      </c>
      <c r="X68" s="22" t="str">
        <f ca="1">IF(U68=GENERALIDADES!$K$3,T68,"0")</f>
        <v>0</v>
      </c>
      <c r="Y68" s="19" t="s">
        <v>52</v>
      </c>
      <c r="Z68" s="19" t="s">
        <v>29</v>
      </c>
      <c r="AA68" s="20" t="s">
        <v>493</v>
      </c>
      <c r="AB68" s="19"/>
      <c r="AC68" s="21" t="s">
        <v>32</v>
      </c>
      <c r="AD68" s="22">
        <f t="shared" si="31"/>
        <v>1</v>
      </c>
      <c r="AE68" s="24">
        <f t="shared" si="32"/>
        <v>2</v>
      </c>
      <c r="AF68" s="36" t="b">
        <f t="shared" si="33"/>
        <v>1</v>
      </c>
    </row>
    <row r="69" spans="1:32" ht="62.25">
      <c r="A69" s="37" t="s">
        <v>494</v>
      </c>
      <c r="B69" s="38">
        <v>46092</v>
      </c>
      <c r="C69" s="39" t="s">
        <v>70</v>
      </c>
      <c r="D69" s="52" t="s">
        <v>38</v>
      </c>
      <c r="E69" s="52" t="s">
        <v>38</v>
      </c>
      <c r="F69" s="53" t="s">
        <v>38</v>
      </c>
      <c r="G69" s="58" t="s">
        <v>38</v>
      </c>
      <c r="H69" s="39" t="s">
        <v>141</v>
      </c>
      <c r="I69" s="39"/>
      <c r="J69" s="40" t="s">
        <v>495</v>
      </c>
      <c r="K69" s="40" t="s">
        <v>486</v>
      </c>
      <c r="L69" s="39" t="s">
        <v>40</v>
      </c>
      <c r="M69" s="49">
        <v>46093</v>
      </c>
      <c r="N69" s="41" t="s">
        <v>78</v>
      </c>
      <c r="O69" s="41" t="s">
        <v>28</v>
      </c>
      <c r="P69" s="44">
        <f t="shared" ref="P69" si="34">M69-B69</f>
        <v>1</v>
      </c>
      <c r="Q69" s="49">
        <v>46093</v>
      </c>
      <c r="R69" s="46">
        <f t="shared" ref="R69" ca="1" si="35">IF(Q69-B69&lt;0,NOW()-B69,Q69-B69)</f>
        <v>1</v>
      </c>
      <c r="S69" s="39" t="s">
        <v>37</v>
      </c>
      <c r="T69" s="39" t="s">
        <v>38</v>
      </c>
      <c r="U69" s="22" t="str">
        <f ca="1">IF(R69=GENERALIDADES!$I$1,#REF!,"0")</f>
        <v>0</v>
      </c>
      <c r="V69" s="42" t="s">
        <v>39</v>
      </c>
      <c r="W69" s="42" t="s">
        <v>38</v>
      </c>
      <c r="X69" s="22" t="str">
        <f ca="1">IF(U69=GENERALIDADES!$K$3,T69,"0")</f>
        <v>0</v>
      </c>
      <c r="Y69" s="39" t="s">
        <v>52</v>
      </c>
      <c r="Z69" s="39" t="s">
        <v>29</v>
      </c>
      <c r="AA69" s="40" t="s">
        <v>496</v>
      </c>
      <c r="AB69" s="39"/>
      <c r="AC69" s="41" t="s">
        <v>32</v>
      </c>
      <c r="AD69" s="22">
        <f t="shared" si="31"/>
        <v>1</v>
      </c>
      <c r="AE69" s="24">
        <f t="shared" si="32"/>
        <v>2</v>
      </c>
      <c r="AF69" s="36" t="b">
        <f t="shared" si="33"/>
        <v>1</v>
      </c>
    </row>
    <row r="70" spans="1:32" ht="62.25">
      <c r="A70" s="37" t="s">
        <v>497</v>
      </c>
      <c r="B70" s="38">
        <v>46093</v>
      </c>
      <c r="C70" s="39" t="s">
        <v>70</v>
      </c>
      <c r="D70" s="52" t="s">
        <v>222</v>
      </c>
      <c r="E70" s="52" t="s">
        <v>271</v>
      </c>
      <c r="F70" s="53" t="s">
        <v>498</v>
      </c>
      <c r="G70" s="58" t="s">
        <v>499</v>
      </c>
      <c r="H70" s="39" t="s">
        <v>157</v>
      </c>
      <c r="I70" s="39" t="s">
        <v>500</v>
      </c>
      <c r="J70" s="40" t="s">
        <v>501</v>
      </c>
      <c r="K70" s="40" t="s">
        <v>486</v>
      </c>
      <c r="L70" s="39" t="s">
        <v>64</v>
      </c>
      <c r="M70" s="49">
        <v>46093</v>
      </c>
      <c r="N70" s="41" t="s">
        <v>78</v>
      </c>
      <c r="O70" s="41" t="s">
        <v>28</v>
      </c>
      <c r="P70" s="44">
        <f t="shared" si="29"/>
        <v>0</v>
      </c>
      <c r="Q70" s="49">
        <v>46093</v>
      </c>
      <c r="R70" s="46">
        <f t="shared" ca="1" si="30"/>
        <v>0</v>
      </c>
      <c r="S70" s="39" t="s">
        <v>37</v>
      </c>
      <c r="T70" s="39" t="s">
        <v>38</v>
      </c>
      <c r="U70" s="22" t="str">
        <f ca="1">IF(R70=GENERALIDADES!$I$1,#REF!,"0")</f>
        <v>0</v>
      </c>
      <c r="V70" s="42" t="s">
        <v>39</v>
      </c>
      <c r="W70" s="42" t="s">
        <v>38</v>
      </c>
      <c r="X70" s="22" t="str">
        <f ca="1">IF(U70=GENERALIDADES!$K$3,T70,"0")</f>
        <v>0</v>
      </c>
      <c r="Y70" s="39" t="s">
        <v>52</v>
      </c>
      <c r="Z70" s="39" t="s">
        <v>29</v>
      </c>
      <c r="AA70" s="40" t="s">
        <v>496</v>
      </c>
      <c r="AB70" s="39"/>
      <c r="AC70" s="41" t="s">
        <v>32</v>
      </c>
      <c r="AD70" s="22">
        <f t="shared" si="31"/>
        <v>0</v>
      </c>
      <c r="AE70" s="24">
        <f t="shared" si="32"/>
        <v>1</v>
      </c>
      <c r="AF70" s="36" t="b">
        <f t="shared" si="33"/>
        <v>1</v>
      </c>
    </row>
    <row r="71" spans="1:32" ht="50.25">
      <c r="A71" s="37" t="s">
        <v>502</v>
      </c>
      <c r="B71" s="38">
        <v>46093</v>
      </c>
      <c r="C71" s="39" t="s">
        <v>158</v>
      </c>
      <c r="D71" s="52" t="s">
        <v>38</v>
      </c>
      <c r="E71" s="52" t="s">
        <v>38</v>
      </c>
      <c r="F71" s="53" t="s">
        <v>38</v>
      </c>
      <c r="G71" s="58" t="s">
        <v>38</v>
      </c>
      <c r="H71" s="39" t="s">
        <v>106</v>
      </c>
      <c r="I71" s="39"/>
      <c r="J71" s="40" t="s">
        <v>503</v>
      </c>
      <c r="K71" s="40" t="s">
        <v>504</v>
      </c>
      <c r="L71" s="39" t="s">
        <v>26</v>
      </c>
      <c r="M71" s="38">
        <v>46094</v>
      </c>
      <c r="N71" s="41" t="s">
        <v>78</v>
      </c>
      <c r="O71" s="41" t="s">
        <v>28</v>
      </c>
      <c r="P71" s="44">
        <f t="shared" si="29"/>
        <v>1</v>
      </c>
      <c r="Q71" s="38">
        <v>46094</v>
      </c>
      <c r="R71" s="46">
        <f t="shared" ca="1" si="30"/>
        <v>1</v>
      </c>
      <c r="S71" s="39" t="s">
        <v>37</v>
      </c>
      <c r="T71" s="39" t="s">
        <v>38</v>
      </c>
      <c r="U71" s="22" t="str">
        <f ca="1">IF(R71=GENERALIDADES!$I$1,#REF!,"0")</f>
        <v>0</v>
      </c>
      <c r="V71" s="42" t="s">
        <v>39</v>
      </c>
      <c r="W71" s="42" t="s">
        <v>38</v>
      </c>
      <c r="X71" s="22" t="str">
        <f ca="1">IF(U71=GENERALIDADES!$K$3,T71,"0")</f>
        <v>0</v>
      </c>
      <c r="Y71" s="39" t="s">
        <v>59</v>
      </c>
      <c r="Z71" s="39" t="s">
        <v>39</v>
      </c>
      <c r="AA71" s="40"/>
      <c r="AB71" s="39"/>
      <c r="AC71" s="41" t="s">
        <v>32</v>
      </c>
      <c r="AD71" s="22">
        <f t="shared" si="31"/>
        <v>1</v>
      </c>
      <c r="AE71" s="24">
        <f t="shared" si="32"/>
        <v>2</v>
      </c>
      <c r="AF71" s="36" t="b">
        <f t="shared" si="33"/>
        <v>1</v>
      </c>
    </row>
    <row r="72" spans="1:32" ht="62.25">
      <c r="A72" s="37" t="s">
        <v>505</v>
      </c>
      <c r="B72" s="38">
        <v>46093</v>
      </c>
      <c r="C72" s="39" t="s">
        <v>70</v>
      </c>
      <c r="D72" s="52" t="s">
        <v>281</v>
      </c>
      <c r="E72" s="52" t="s">
        <v>282</v>
      </c>
      <c r="F72" s="53" t="s">
        <v>506</v>
      </c>
      <c r="G72" s="58">
        <v>545483</v>
      </c>
      <c r="H72" s="39" t="s">
        <v>149</v>
      </c>
      <c r="I72" s="39" t="s">
        <v>507</v>
      </c>
      <c r="J72" s="40" t="s">
        <v>508</v>
      </c>
      <c r="K72" s="40" t="s">
        <v>509</v>
      </c>
      <c r="L72" s="39" t="s">
        <v>26</v>
      </c>
      <c r="M72" s="49">
        <v>46093</v>
      </c>
      <c r="N72" s="41" t="s">
        <v>78</v>
      </c>
      <c r="O72" s="41" t="s">
        <v>28</v>
      </c>
      <c r="P72" s="44">
        <f t="shared" si="29"/>
        <v>0</v>
      </c>
      <c r="Q72" s="49">
        <v>46093</v>
      </c>
      <c r="R72" s="46">
        <f t="shared" ca="1" si="30"/>
        <v>0</v>
      </c>
      <c r="S72" s="39" t="s">
        <v>37</v>
      </c>
      <c r="T72" s="39" t="s">
        <v>38</v>
      </c>
      <c r="U72" s="22" t="str">
        <f ca="1">IF(R72=GENERALIDADES!$I$1,#REF!,"0")</f>
        <v>0</v>
      </c>
      <c r="V72" s="42" t="s">
        <v>39</v>
      </c>
      <c r="W72" s="42" t="s">
        <v>38</v>
      </c>
      <c r="X72" s="22" t="str">
        <f ca="1">IF(U72=GENERALIDADES!$K$3,T72,"0")</f>
        <v>0</v>
      </c>
      <c r="Y72" s="39" t="s">
        <v>17</v>
      </c>
      <c r="Z72" s="39" t="s">
        <v>29</v>
      </c>
      <c r="AA72" s="40" t="s">
        <v>510</v>
      </c>
      <c r="AB72" s="39"/>
      <c r="AC72" s="41" t="s">
        <v>32</v>
      </c>
      <c r="AD72" s="22">
        <f t="shared" si="31"/>
        <v>0</v>
      </c>
      <c r="AE72" s="24">
        <f t="shared" si="32"/>
        <v>1</v>
      </c>
      <c r="AF72" s="36" t="b">
        <f t="shared" si="33"/>
        <v>1</v>
      </c>
    </row>
    <row r="73" spans="1:32" ht="75.75">
      <c r="A73" s="37" t="s">
        <v>511</v>
      </c>
      <c r="B73" s="38">
        <v>46093</v>
      </c>
      <c r="C73" s="39" t="s">
        <v>70</v>
      </c>
      <c r="D73" s="52" t="s">
        <v>281</v>
      </c>
      <c r="E73" s="52" t="s">
        <v>282</v>
      </c>
      <c r="F73" s="53" t="s">
        <v>512</v>
      </c>
      <c r="G73" s="58">
        <v>545470</v>
      </c>
      <c r="H73" s="39" t="s">
        <v>149</v>
      </c>
      <c r="I73" s="39"/>
      <c r="J73" s="40" t="s">
        <v>513</v>
      </c>
      <c r="K73" s="40" t="s">
        <v>514</v>
      </c>
      <c r="L73" s="39" t="s">
        <v>26</v>
      </c>
      <c r="M73" s="38">
        <v>46093</v>
      </c>
      <c r="N73" s="41" t="s">
        <v>78</v>
      </c>
      <c r="O73" s="41" t="s">
        <v>28</v>
      </c>
      <c r="P73" s="44">
        <f t="shared" si="29"/>
        <v>0</v>
      </c>
      <c r="Q73" s="38">
        <v>46093</v>
      </c>
      <c r="R73" s="46">
        <f t="shared" ca="1" si="30"/>
        <v>0</v>
      </c>
      <c r="S73" s="39" t="s">
        <v>37</v>
      </c>
      <c r="T73" s="39" t="s">
        <v>38</v>
      </c>
      <c r="U73" s="22" t="str">
        <f ca="1">IF(R73=GENERALIDADES!$I$1,#REF!,"0")</f>
        <v>0</v>
      </c>
      <c r="V73" s="42" t="s">
        <v>39</v>
      </c>
      <c r="W73" s="42" t="s">
        <v>38</v>
      </c>
      <c r="X73" s="22" t="str">
        <f ca="1">IF(U73=GENERALIDADES!$K$3,T73,"0")</f>
        <v>0</v>
      </c>
      <c r="Y73" s="39" t="s">
        <v>59</v>
      </c>
      <c r="Z73" s="39" t="s">
        <v>29</v>
      </c>
      <c r="AA73" s="40" t="s">
        <v>515</v>
      </c>
      <c r="AB73" s="39"/>
      <c r="AC73" s="41" t="s">
        <v>32</v>
      </c>
      <c r="AD73" s="22">
        <f t="shared" si="31"/>
        <v>0</v>
      </c>
      <c r="AE73" s="24">
        <f t="shared" si="32"/>
        <v>1</v>
      </c>
      <c r="AF73" s="36" t="b">
        <f t="shared" si="33"/>
        <v>1</v>
      </c>
    </row>
    <row r="74" spans="1:32" ht="75.75">
      <c r="A74" s="37" t="s">
        <v>516</v>
      </c>
      <c r="B74" s="38">
        <v>46094</v>
      </c>
      <c r="C74" s="39" t="s">
        <v>70</v>
      </c>
      <c r="D74" s="52" t="s">
        <v>222</v>
      </c>
      <c r="E74" s="52" t="s">
        <v>430</v>
      </c>
      <c r="F74" s="53" t="s">
        <v>517</v>
      </c>
      <c r="G74" s="58">
        <v>549963</v>
      </c>
      <c r="H74" s="39" t="s">
        <v>86</v>
      </c>
      <c r="I74" s="39"/>
      <c r="J74" s="40" t="s">
        <v>518</v>
      </c>
      <c r="K74" s="40" t="s">
        <v>519</v>
      </c>
      <c r="L74" s="39" t="s">
        <v>26</v>
      </c>
      <c r="M74" s="38">
        <v>46094</v>
      </c>
      <c r="N74" s="41" t="s">
        <v>78</v>
      </c>
      <c r="O74" s="41" t="s">
        <v>28</v>
      </c>
      <c r="P74" s="44">
        <f t="shared" si="29"/>
        <v>0</v>
      </c>
      <c r="Q74" s="38">
        <v>46094</v>
      </c>
      <c r="R74" s="46">
        <f t="shared" ca="1" si="30"/>
        <v>0</v>
      </c>
      <c r="S74" s="39" t="s">
        <v>37</v>
      </c>
      <c r="T74" s="39" t="s">
        <v>38</v>
      </c>
      <c r="U74" s="22" t="str">
        <f ca="1">IF(R74=GENERALIDADES!$I$1,#REF!,"0")</f>
        <v>0</v>
      </c>
      <c r="V74" s="42" t="s">
        <v>39</v>
      </c>
      <c r="W74" s="42" t="s">
        <v>38</v>
      </c>
      <c r="X74" s="22" t="str">
        <f ca="1">IF(U74=GENERALIDADES!$K$3,T74,"0")</f>
        <v>0</v>
      </c>
      <c r="Y74" s="39" t="s">
        <v>52</v>
      </c>
      <c r="Z74" s="39" t="s">
        <v>39</v>
      </c>
      <c r="AA74" s="40"/>
      <c r="AB74" s="39"/>
      <c r="AC74" s="41" t="s">
        <v>32</v>
      </c>
      <c r="AD74" s="22">
        <f t="shared" si="31"/>
        <v>0</v>
      </c>
      <c r="AE74" s="24">
        <f t="shared" si="32"/>
        <v>1</v>
      </c>
      <c r="AF74" s="36" t="b">
        <f t="shared" si="33"/>
        <v>1</v>
      </c>
    </row>
    <row r="75" spans="1:32" ht="100.5">
      <c r="A75" s="37" t="s">
        <v>520</v>
      </c>
      <c r="B75" s="38">
        <v>46094</v>
      </c>
      <c r="C75" s="39" t="s">
        <v>70</v>
      </c>
      <c r="D75" s="52" t="s">
        <v>222</v>
      </c>
      <c r="E75" s="52" t="s">
        <v>430</v>
      </c>
      <c r="F75" s="53" t="s">
        <v>517</v>
      </c>
      <c r="G75" s="58">
        <v>549963</v>
      </c>
      <c r="H75" s="39" t="s">
        <v>114</v>
      </c>
      <c r="I75" s="39"/>
      <c r="J75" s="40" t="s">
        <v>521</v>
      </c>
      <c r="K75" s="40" t="s">
        <v>522</v>
      </c>
      <c r="L75" s="39" t="s">
        <v>26</v>
      </c>
      <c r="M75" s="48">
        <v>46094</v>
      </c>
      <c r="N75" s="41" t="s">
        <v>78</v>
      </c>
      <c r="O75" s="41" t="s">
        <v>28</v>
      </c>
      <c r="P75" s="44">
        <f t="shared" si="29"/>
        <v>0</v>
      </c>
      <c r="Q75" s="48">
        <v>46094</v>
      </c>
      <c r="R75" s="46">
        <f t="shared" ca="1" si="30"/>
        <v>0</v>
      </c>
      <c r="S75" s="39" t="s">
        <v>37</v>
      </c>
      <c r="T75" s="39" t="s">
        <v>38</v>
      </c>
      <c r="U75" s="22" t="str">
        <f ca="1">IF(R75=GENERALIDADES!$I$1,#REF!,"0")</f>
        <v>0</v>
      </c>
      <c r="V75" s="42" t="s">
        <v>39</v>
      </c>
      <c r="W75" s="42" t="s">
        <v>38</v>
      </c>
      <c r="X75" s="22" t="str">
        <f ca="1">IF(U75=GENERALIDADES!$K$3,T75,"0")</f>
        <v>0</v>
      </c>
      <c r="Y75" s="39" t="s">
        <v>52</v>
      </c>
      <c r="Z75" s="39" t="s">
        <v>29</v>
      </c>
      <c r="AA75" s="40" t="s">
        <v>523</v>
      </c>
      <c r="AB75" s="39"/>
      <c r="AC75" s="41" t="s">
        <v>32</v>
      </c>
      <c r="AD75" s="22">
        <f t="shared" si="31"/>
        <v>0</v>
      </c>
      <c r="AE75" s="24">
        <f t="shared" si="32"/>
        <v>1</v>
      </c>
      <c r="AF75" s="36" t="b">
        <f t="shared" si="33"/>
        <v>1</v>
      </c>
    </row>
    <row r="76" spans="1:32" ht="62.25">
      <c r="A76" s="37" t="s">
        <v>524</v>
      </c>
      <c r="B76" s="38">
        <v>46094</v>
      </c>
      <c r="C76" s="39" t="s">
        <v>70</v>
      </c>
      <c r="D76" s="52" t="s">
        <v>222</v>
      </c>
      <c r="E76" s="52" t="s">
        <v>430</v>
      </c>
      <c r="F76" s="53" t="s">
        <v>525</v>
      </c>
      <c r="G76" s="58">
        <v>573991</v>
      </c>
      <c r="H76" s="39" t="s">
        <v>114</v>
      </c>
      <c r="I76" s="39"/>
      <c r="J76" s="40" t="s">
        <v>526</v>
      </c>
      <c r="K76" s="40" t="s">
        <v>527</v>
      </c>
      <c r="L76" s="39" t="s">
        <v>26</v>
      </c>
      <c r="M76" s="38">
        <v>46097</v>
      </c>
      <c r="N76" s="41" t="s">
        <v>78</v>
      </c>
      <c r="O76" s="41" t="s">
        <v>28</v>
      </c>
      <c r="P76" s="44">
        <f t="shared" si="29"/>
        <v>3</v>
      </c>
      <c r="Q76" s="38">
        <v>46097</v>
      </c>
      <c r="R76" s="46">
        <f t="shared" ca="1" si="30"/>
        <v>3</v>
      </c>
      <c r="S76" s="39" t="s">
        <v>37</v>
      </c>
      <c r="T76" s="39" t="s">
        <v>38</v>
      </c>
      <c r="U76" s="22" t="str">
        <f ca="1">IF(R76=GENERALIDADES!$I$1,#REF!,"0")</f>
        <v>0</v>
      </c>
      <c r="V76" s="42" t="s">
        <v>39</v>
      </c>
      <c r="W76" s="42" t="s">
        <v>38</v>
      </c>
      <c r="X76" s="22" t="str">
        <f ca="1">IF(U76=GENERALIDADES!$K$3,T76,"0")</f>
        <v>0</v>
      </c>
      <c r="Y76" s="39" t="s">
        <v>116</v>
      </c>
      <c r="Z76" s="39" t="s">
        <v>39</v>
      </c>
      <c r="AA76" s="40"/>
      <c r="AB76" s="39"/>
      <c r="AC76" s="41" t="s">
        <v>32</v>
      </c>
      <c r="AD76" s="22">
        <f t="shared" si="31"/>
        <v>3</v>
      </c>
      <c r="AE76" s="24">
        <f t="shared" si="32"/>
        <v>2</v>
      </c>
      <c r="AF76" s="36" t="b">
        <f t="shared" si="33"/>
        <v>1</v>
      </c>
    </row>
    <row r="77" spans="1:32" ht="50.25">
      <c r="A77" s="37" t="s">
        <v>528</v>
      </c>
      <c r="B77" s="38">
        <v>46094</v>
      </c>
      <c r="C77" s="39" t="s">
        <v>152</v>
      </c>
      <c r="D77" s="52" t="s">
        <v>222</v>
      </c>
      <c r="E77" s="52" t="s">
        <v>529</v>
      </c>
      <c r="F77" s="53" t="s">
        <v>530</v>
      </c>
      <c r="G77" s="58">
        <v>545054</v>
      </c>
      <c r="H77" s="39" t="s">
        <v>114</v>
      </c>
      <c r="I77" s="39"/>
      <c r="J77" s="40" t="s">
        <v>531</v>
      </c>
      <c r="K77" s="40" t="s">
        <v>532</v>
      </c>
      <c r="L77" s="39" t="s">
        <v>26</v>
      </c>
      <c r="M77" s="49">
        <v>46097</v>
      </c>
      <c r="N77" s="41" t="s">
        <v>78</v>
      </c>
      <c r="O77" s="41" t="s">
        <v>28</v>
      </c>
      <c r="P77" s="44">
        <f t="shared" si="29"/>
        <v>3</v>
      </c>
      <c r="Q77" s="49">
        <v>46097</v>
      </c>
      <c r="R77" s="46">
        <f t="shared" ca="1" si="30"/>
        <v>3</v>
      </c>
      <c r="S77" s="39" t="s">
        <v>37</v>
      </c>
      <c r="T77" s="39" t="s">
        <v>38</v>
      </c>
      <c r="U77" s="22" t="str">
        <f ca="1">IF(R77=GENERALIDADES!$I$1,#REF!,"0")</f>
        <v>0</v>
      </c>
      <c r="V77" s="42" t="s">
        <v>39</v>
      </c>
      <c r="W77" s="42" t="s">
        <v>38</v>
      </c>
      <c r="X77" s="22" t="str">
        <f ca="1">IF(U77=GENERALIDADES!$K$3,T77,"0")</f>
        <v>0</v>
      </c>
      <c r="Y77" s="39" t="s">
        <v>112</v>
      </c>
      <c r="Z77" s="39" t="s">
        <v>39</v>
      </c>
      <c r="AA77" s="40"/>
      <c r="AB77" s="39"/>
      <c r="AC77" s="41" t="s">
        <v>32</v>
      </c>
      <c r="AD77" s="22">
        <f t="shared" si="31"/>
        <v>3</v>
      </c>
      <c r="AE77" s="24">
        <f t="shared" si="32"/>
        <v>2</v>
      </c>
      <c r="AF77" s="36" t="b">
        <f t="shared" si="33"/>
        <v>1</v>
      </c>
    </row>
    <row r="78" spans="1:32" ht="50.25">
      <c r="A78" s="37" t="s">
        <v>533</v>
      </c>
      <c r="B78" s="38">
        <v>46094</v>
      </c>
      <c r="C78" s="39" t="s">
        <v>158</v>
      </c>
      <c r="D78" s="52"/>
      <c r="E78" s="52"/>
      <c r="F78" s="53"/>
      <c r="G78" s="58"/>
      <c r="H78" s="39" t="s">
        <v>125</v>
      </c>
      <c r="I78" s="39"/>
      <c r="J78" s="40" t="s">
        <v>534</v>
      </c>
      <c r="K78" s="40" t="s">
        <v>535</v>
      </c>
      <c r="L78" s="39" t="s">
        <v>26</v>
      </c>
      <c r="M78" s="38">
        <v>46097</v>
      </c>
      <c r="N78" s="41" t="s">
        <v>78</v>
      </c>
      <c r="O78" s="41" t="s">
        <v>51</v>
      </c>
      <c r="P78" s="44">
        <f t="shared" si="29"/>
        <v>3</v>
      </c>
      <c r="Q78" s="38">
        <v>46097</v>
      </c>
      <c r="R78" s="46">
        <f t="shared" ca="1" si="30"/>
        <v>3</v>
      </c>
      <c r="S78" s="39" t="s">
        <v>23</v>
      </c>
      <c r="T78" s="39" t="s">
        <v>24</v>
      </c>
      <c r="U78" s="22" t="str">
        <f ca="1">IF(R78=GENERALIDADES!$I$1,#REF!,"0")</f>
        <v>0</v>
      </c>
      <c r="V78" s="42" t="s">
        <v>39</v>
      </c>
      <c r="W78" s="42" t="s">
        <v>38</v>
      </c>
      <c r="X78" s="22" t="str">
        <f ca="1">IF(U78=GENERALIDADES!$K$3,T78,"0")</f>
        <v>0</v>
      </c>
      <c r="Y78" s="39" t="s">
        <v>59</v>
      </c>
      <c r="Z78" s="39" t="s">
        <v>39</v>
      </c>
      <c r="AA78" s="40"/>
      <c r="AB78" s="39"/>
      <c r="AC78" s="41" t="s">
        <v>32</v>
      </c>
      <c r="AD78" s="22">
        <f t="shared" si="31"/>
        <v>3</v>
      </c>
      <c r="AE78" s="24">
        <f t="shared" si="32"/>
        <v>2</v>
      </c>
      <c r="AF78" s="36" t="b">
        <f t="shared" si="33"/>
        <v>1</v>
      </c>
    </row>
    <row r="79" spans="1:32" ht="62.25">
      <c r="A79" s="37" t="s">
        <v>536</v>
      </c>
      <c r="B79" s="38">
        <v>46095</v>
      </c>
      <c r="C79" s="39" t="s">
        <v>111</v>
      </c>
      <c r="D79" s="52"/>
      <c r="E79" s="52"/>
      <c r="F79" s="53" t="s">
        <v>537</v>
      </c>
      <c r="G79" s="58"/>
      <c r="H79" s="39" t="s">
        <v>129</v>
      </c>
      <c r="I79" s="39"/>
      <c r="J79" s="40" t="s">
        <v>538</v>
      </c>
      <c r="K79" s="40" t="s">
        <v>539</v>
      </c>
      <c r="L79" s="39" t="s">
        <v>26</v>
      </c>
      <c r="M79" s="38">
        <v>46097</v>
      </c>
      <c r="N79" s="41" t="s">
        <v>58</v>
      </c>
      <c r="O79" s="41" t="s">
        <v>51</v>
      </c>
      <c r="P79" s="44">
        <f t="shared" si="29"/>
        <v>2</v>
      </c>
      <c r="Q79" s="38">
        <v>46097</v>
      </c>
      <c r="R79" s="46">
        <f t="shared" ca="1" si="30"/>
        <v>2</v>
      </c>
      <c r="S79" s="39" t="s">
        <v>37</v>
      </c>
      <c r="T79" s="39" t="s">
        <v>38</v>
      </c>
      <c r="U79" s="22" t="str">
        <f ca="1">IF(R79=GENERALIDADES!$I$1,#REF!,"0")</f>
        <v>0</v>
      </c>
      <c r="V79" s="42" t="s">
        <v>39</v>
      </c>
      <c r="W79" s="42" t="s">
        <v>38</v>
      </c>
      <c r="X79" s="22" t="str">
        <f ca="1">IF(U79=GENERALIDADES!$K$3,T79,"0")</f>
        <v>0</v>
      </c>
      <c r="Y79" s="39" t="s">
        <v>59</v>
      </c>
      <c r="Z79" s="39" t="s">
        <v>39</v>
      </c>
      <c r="AA79" s="40"/>
      <c r="AB79" s="39"/>
      <c r="AC79" s="41" t="s">
        <v>60</v>
      </c>
      <c r="AD79" s="22">
        <f t="shared" si="31"/>
        <v>2</v>
      </c>
      <c r="AE79" s="24">
        <f t="shared" si="32"/>
        <v>1</v>
      </c>
      <c r="AF79" s="36" t="b">
        <f t="shared" si="33"/>
        <v>1</v>
      </c>
    </row>
    <row r="80" spans="1:32" ht="50.25">
      <c r="A80" s="37" t="s">
        <v>540</v>
      </c>
      <c r="B80" s="38">
        <v>46095</v>
      </c>
      <c r="C80" s="39" t="s">
        <v>70</v>
      </c>
      <c r="D80" s="52" t="s">
        <v>38</v>
      </c>
      <c r="E80" s="52" t="s">
        <v>38</v>
      </c>
      <c r="F80" s="53" t="s">
        <v>38</v>
      </c>
      <c r="G80" s="58" t="s">
        <v>38</v>
      </c>
      <c r="H80" s="39" t="s">
        <v>129</v>
      </c>
      <c r="I80" s="39"/>
      <c r="J80" s="40" t="s">
        <v>541</v>
      </c>
      <c r="K80" s="40" t="s">
        <v>542</v>
      </c>
      <c r="L80" s="39" t="s">
        <v>26</v>
      </c>
      <c r="M80" s="38">
        <v>46095</v>
      </c>
      <c r="N80" s="41" t="s">
        <v>78</v>
      </c>
      <c r="O80" s="41" t="s">
        <v>28</v>
      </c>
      <c r="P80" s="44">
        <f t="shared" si="29"/>
        <v>0</v>
      </c>
      <c r="Q80" s="38">
        <v>46095</v>
      </c>
      <c r="R80" s="46">
        <f t="shared" ca="1" si="30"/>
        <v>0</v>
      </c>
      <c r="S80" s="39" t="s">
        <v>37</v>
      </c>
      <c r="T80" s="39" t="s">
        <v>38</v>
      </c>
      <c r="U80" s="22" t="str">
        <f ca="1">IF(R80=GENERALIDADES!$I$1,#REF!,"0")</f>
        <v>0</v>
      </c>
      <c r="V80" s="42" t="s">
        <v>39</v>
      </c>
      <c r="W80" s="42" t="s">
        <v>38</v>
      </c>
      <c r="X80" s="22" t="str">
        <f ca="1">IF(U80=GENERALIDADES!$K$3,T80,"0")</f>
        <v>0</v>
      </c>
      <c r="Y80" s="39" t="s">
        <v>112</v>
      </c>
      <c r="Z80" s="39" t="s">
        <v>39</v>
      </c>
      <c r="AA80" s="40"/>
      <c r="AB80" s="39"/>
      <c r="AC80" s="41" t="s">
        <v>32</v>
      </c>
      <c r="AD80" s="22">
        <f t="shared" si="31"/>
        <v>0</v>
      </c>
      <c r="AE80" s="24">
        <f t="shared" si="32"/>
        <v>0</v>
      </c>
      <c r="AF80" s="36" t="b">
        <f t="shared" si="33"/>
        <v>1</v>
      </c>
    </row>
    <row r="81" spans="1:32" ht="75.75">
      <c r="A81" s="37" t="s">
        <v>543</v>
      </c>
      <c r="B81" s="38">
        <v>46095</v>
      </c>
      <c r="C81" s="39" t="s">
        <v>70</v>
      </c>
      <c r="D81" s="52" t="s">
        <v>281</v>
      </c>
      <c r="E81" s="52" t="s">
        <v>282</v>
      </c>
      <c r="F81" s="53" t="s">
        <v>544</v>
      </c>
      <c r="G81" s="58">
        <v>545481</v>
      </c>
      <c r="H81" s="39" t="s">
        <v>149</v>
      </c>
      <c r="I81" s="39"/>
      <c r="J81" s="20" t="s">
        <v>545</v>
      </c>
      <c r="K81" s="40" t="s">
        <v>546</v>
      </c>
      <c r="L81" s="39" t="s">
        <v>26</v>
      </c>
      <c r="M81" s="49">
        <v>46097</v>
      </c>
      <c r="N81" s="41" t="s">
        <v>78</v>
      </c>
      <c r="O81" s="41" t="s">
        <v>28</v>
      </c>
      <c r="P81" s="44">
        <f t="shared" si="29"/>
        <v>2</v>
      </c>
      <c r="Q81" s="49">
        <v>46097</v>
      </c>
      <c r="R81" s="46">
        <f t="shared" ca="1" si="30"/>
        <v>2</v>
      </c>
      <c r="S81" s="39" t="s">
        <v>37</v>
      </c>
      <c r="T81" s="39" t="s">
        <v>38</v>
      </c>
      <c r="U81" s="22" t="str">
        <f ca="1">IF(R81=GENERALIDADES!$I$1,#REF!,"0")</f>
        <v>0</v>
      </c>
      <c r="V81" s="42" t="s">
        <v>39</v>
      </c>
      <c r="W81" s="42" t="s">
        <v>38</v>
      </c>
      <c r="X81" s="22" t="str">
        <f ca="1">IF(U81=GENERALIDADES!$K$3,T81,"0")</f>
        <v>0</v>
      </c>
      <c r="Y81" s="39" t="s">
        <v>52</v>
      </c>
      <c r="Z81" s="39" t="s">
        <v>29</v>
      </c>
      <c r="AA81" s="40" t="s">
        <v>286</v>
      </c>
      <c r="AB81" s="39"/>
      <c r="AC81" s="41" t="s">
        <v>32</v>
      </c>
      <c r="AD81" s="22">
        <f t="shared" si="31"/>
        <v>2</v>
      </c>
      <c r="AE81" s="24">
        <f t="shared" si="32"/>
        <v>1</v>
      </c>
      <c r="AF81" s="36" t="b">
        <f t="shared" si="33"/>
        <v>1</v>
      </c>
    </row>
    <row r="82" spans="1:32" ht="62.25">
      <c r="A82" s="37" t="s">
        <v>547</v>
      </c>
      <c r="B82" s="38">
        <v>46096</v>
      </c>
      <c r="C82" s="39" t="s">
        <v>70</v>
      </c>
      <c r="D82" s="52"/>
      <c r="E82" s="52"/>
      <c r="F82" s="53"/>
      <c r="G82" s="58" t="s">
        <v>548</v>
      </c>
      <c r="H82" s="39" t="s">
        <v>119</v>
      </c>
      <c r="I82" s="39"/>
      <c r="J82" s="40" t="s">
        <v>549</v>
      </c>
      <c r="K82" s="40" t="s">
        <v>550</v>
      </c>
      <c r="L82" s="39" t="s">
        <v>26</v>
      </c>
      <c r="M82" s="49">
        <v>46097</v>
      </c>
      <c r="N82" s="41" t="s">
        <v>78</v>
      </c>
      <c r="O82" s="41" t="s">
        <v>28</v>
      </c>
      <c r="P82" s="44">
        <f t="shared" si="29"/>
        <v>1</v>
      </c>
      <c r="Q82" s="49">
        <v>46097</v>
      </c>
      <c r="R82" s="46">
        <f t="shared" ca="1" si="30"/>
        <v>1</v>
      </c>
      <c r="S82" s="39" t="s">
        <v>37</v>
      </c>
      <c r="T82" s="39" t="s">
        <v>38</v>
      </c>
      <c r="U82" s="22" t="str">
        <f ca="1">IF(R82=GENERALIDADES!$I$1,#REF!,"0")</f>
        <v>0</v>
      </c>
      <c r="V82" s="42" t="s">
        <v>39</v>
      </c>
      <c r="W82" s="42" t="s">
        <v>38</v>
      </c>
      <c r="X82" s="22" t="str">
        <f ca="1">IF(U82=GENERALIDADES!$K$3,T82,"0")</f>
        <v>0</v>
      </c>
      <c r="Y82" s="39" t="s">
        <v>52</v>
      </c>
      <c r="Z82" s="39" t="s">
        <v>29</v>
      </c>
      <c r="AA82" s="40" t="s">
        <v>305</v>
      </c>
      <c r="AB82" s="39"/>
      <c r="AC82" s="41" t="s">
        <v>32</v>
      </c>
      <c r="AD82" s="22">
        <f t="shared" si="31"/>
        <v>1</v>
      </c>
      <c r="AE82" s="24">
        <f t="shared" si="32"/>
        <v>1</v>
      </c>
      <c r="AF82" s="36" t="b">
        <f t="shared" si="33"/>
        <v>1</v>
      </c>
    </row>
    <row r="83" spans="1:32" ht="62.25">
      <c r="A83" s="37" t="s">
        <v>551</v>
      </c>
      <c r="B83" s="38">
        <v>46096</v>
      </c>
      <c r="C83" s="39" t="s">
        <v>152</v>
      </c>
      <c r="D83" s="52" t="s">
        <v>222</v>
      </c>
      <c r="E83" s="52" t="s">
        <v>552</v>
      </c>
      <c r="F83" s="53" t="s">
        <v>553</v>
      </c>
      <c r="G83" s="58">
        <v>573993</v>
      </c>
      <c r="H83" s="39" t="s">
        <v>157</v>
      </c>
      <c r="I83" s="39"/>
      <c r="J83" s="40" t="s">
        <v>554</v>
      </c>
      <c r="K83" s="40" t="s">
        <v>555</v>
      </c>
      <c r="L83" s="39" t="s">
        <v>26</v>
      </c>
      <c r="M83" s="38">
        <v>46097</v>
      </c>
      <c r="N83" s="41" t="s">
        <v>78</v>
      </c>
      <c r="O83" s="41" t="s">
        <v>28</v>
      </c>
      <c r="P83" s="44">
        <f t="shared" si="29"/>
        <v>1</v>
      </c>
      <c r="Q83" s="38">
        <v>46097</v>
      </c>
      <c r="R83" s="46">
        <f t="shared" ca="1" si="30"/>
        <v>1</v>
      </c>
      <c r="S83" s="39" t="s">
        <v>37</v>
      </c>
      <c r="T83" s="39" t="s">
        <v>38</v>
      </c>
      <c r="U83" s="22" t="str">
        <f ca="1">IF(R83=GENERALIDADES!$I$1,#REF!,"0")</f>
        <v>0</v>
      </c>
      <c r="V83" s="42" t="s">
        <v>39</v>
      </c>
      <c r="W83" s="42" t="s">
        <v>38</v>
      </c>
      <c r="X83" s="22" t="str">
        <f ca="1">IF(U83=GENERALIDADES!$K$3,T83,"0")</f>
        <v>0</v>
      </c>
      <c r="Y83" s="39" t="s">
        <v>112</v>
      </c>
      <c r="Z83" s="39" t="s">
        <v>39</v>
      </c>
      <c r="AA83" s="40"/>
      <c r="AB83" s="39"/>
      <c r="AC83" s="41" t="s">
        <v>32</v>
      </c>
      <c r="AD83" s="22">
        <f t="shared" si="31"/>
        <v>1</v>
      </c>
      <c r="AE83" s="24">
        <f t="shared" si="32"/>
        <v>1</v>
      </c>
      <c r="AF83" s="36" t="b">
        <f t="shared" si="33"/>
        <v>1</v>
      </c>
    </row>
    <row r="84" spans="1:32" ht="100.5">
      <c r="A84" s="37" t="s">
        <v>556</v>
      </c>
      <c r="B84" s="38">
        <v>46096</v>
      </c>
      <c r="C84" s="39" t="s">
        <v>118</v>
      </c>
      <c r="D84" s="52" t="s">
        <v>557</v>
      </c>
      <c r="E84" s="52" t="s">
        <v>267</v>
      </c>
      <c r="F84" s="53" t="s">
        <v>558</v>
      </c>
      <c r="G84" s="58" t="s">
        <v>559</v>
      </c>
      <c r="H84" s="39" t="s">
        <v>129</v>
      </c>
      <c r="I84" s="39"/>
      <c r="J84" s="40" t="s">
        <v>560</v>
      </c>
      <c r="K84" s="40" t="s">
        <v>561</v>
      </c>
      <c r="L84" s="39" t="s">
        <v>71</v>
      </c>
      <c r="M84" s="49">
        <v>46097</v>
      </c>
      <c r="N84" s="41" t="s">
        <v>78</v>
      </c>
      <c r="O84" s="41" t="s">
        <v>28</v>
      </c>
      <c r="P84" s="44">
        <f t="shared" si="29"/>
        <v>1</v>
      </c>
      <c r="Q84" s="49">
        <v>46097</v>
      </c>
      <c r="R84" s="46">
        <f t="shared" ca="1" si="30"/>
        <v>1</v>
      </c>
      <c r="S84" s="39" t="s">
        <v>37</v>
      </c>
      <c r="T84" s="39" t="s">
        <v>38</v>
      </c>
      <c r="U84" s="22" t="str">
        <f ca="1">IF(R84=GENERALIDADES!$I$1,#REF!,"0")</f>
        <v>0</v>
      </c>
      <c r="V84" s="42" t="s">
        <v>39</v>
      </c>
      <c r="W84" s="42" t="s">
        <v>38</v>
      </c>
      <c r="X84" s="22" t="str">
        <f ca="1">IF(U84=GENERALIDADES!$K$3,T84,"0")</f>
        <v>0</v>
      </c>
      <c r="Y84" s="39" t="s">
        <v>17</v>
      </c>
      <c r="Z84" s="39" t="s">
        <v>39</v>
      </c>
      <c r="AA84" s="40"/>
      <c r="AB84" s="39"/>
      <c r="AC84" s="41" t="s">
        <v>32</v>
      </c>
      <c r="AD84" s="22">
        <f t="shared" si="31"/>
        <v>1</v>
      </c>
      <c r="AE84" s="24">
        <f t="shared" si="32"/>
        <v>1</v>
      </c>
      <c r="AF84" s="36" t="b">
        <f t="shared" si="33"/>
        <v>1</v>
      </c>
    </row>
    <row r="85" spans="1:32" ht="88.5">
      <c r="A85" s="37" t="s">
        <v>562</v>
      </c>
      <c r="B85" s="38">
        <v>46097</v>
      </c>
      <c r="C85" s="39" t="s">
        <v>160</v>
      </c>
      <c r="D85" s="52"/>
      <c r="E85" s="52"/>
      <c r="F85" s="53" t="s">
        <v>563</v>
      </c>
      <c r="G85" s="58"/>
      <c r="H85" s="39" t="s">
        <v>153</v>
      </c>
      <c r="I85" s="39"/>
      <c r="J85" s="40" t="s">
        <v>564</v>
      </c>
      <c r="K85" s="40" t="s">
        <v>565</v>
      </c>
      <c r="L85" s="39" t="s">
        <v>49</v>
      </c>
      <c r="M85" s="38">
        <v>46097</v>
      </c>
      <c r="N85" s="41" t="s">
        <v>58</v>
      </c>
      <c r="O85" s="41" t="s">
        <v>51</v>
      </c>
      <c r="P85" s="44">
        <f t="shared" si="29"/>
        <v>0</v>
      </c>
      <c r="Q85" s="38">
        <v>46097</v>
      </c>
      <c r="R85" s="46">
        <f t="shared" ca="1" si="30"/>
        <v>0</v>
      </c>
      <c r="S85" s="39" t="s">
        <v>37</v>
      </c>
      <c r="T85" s="39" t="s">
        <v>38</v>
      </c>
      <c r="U85" s="22" t="str">
        <f ca="1">IF(R85=GENERALIDADES!$I$1,#REF!,"0")</f>
        <v>0</v>
      </c>
      <c r="V85" s="42" t="s">
        <v>39</v>
      </c>
      <c r="W85" s="42" t="s">
        <v>38</v>
      </c>
      <c r="X85" s="22" t="str">
        <f ca="1">IF(U85=GENERALIDADES!$K$3,T85,"0")</f>
        <v>0</v>
      </c>
      <c r="Y85" s="39" t="s">
        <v>116</v>
      </c>
      <c r="Z85" s="39" t="s">
        <v>39</v>
      </c>
      <c r="AA85" s="40"/>
      <c r="AB85" s="39"/>
      <c r="AC85" s="41" t="s">
        <v>67</v>
      </c>
      <c r="AD85" s="22">
        <f t="shared" si="31"/>
        <v>0</v>
      </c>
      <c r="AE85" s="24">
        <f t="shared" si="32"/>
        <v>1</v>
      </c>
      <c r="AF85" s="36" t="b">
        <f t="shared" si="33"/>
        <v>1</v>
      </c>
    </row>
    <row r="86" spans="1:32" ht="75.75">
      <c r="A86" s="37" t="s">
        <v>566</v>
      </c>
      <c r="B86" s="38">
        <v>46097</v>
      </c>
      <c r="C86" s="39" t="s">
        <v>162</v>
      </c>
      <c r="D86" s="52" t="s">
        <v>236</v>
      </c>
      <c r="E86" s="52" t="s">
        <v>567</v>
      </c>
      <c r="F86" s="53" t="s">
        <v>568</v>
      </c>
      <c r="G86" s="58" t="s">
        <v>569</v>
      </c>
      <c r="H86" s="39" t="s">
        <v>76</v>
      </c>
      <c r="I86" s="39" t="s">
        <v>570</v>
      </c>
      <c r="J86" s="40" t="s">
        <v>571</v>
      </c>
      <c r="K86" s="40" t="s">
        <v>572</v>
      </c>
      <c r="L86" s="39" t="s">
        <v>64</v>
      </c>
      <c r="M86" s="38">
        <v>46097</v>
      </c>
      <c r="N86" s="41" t="s">
        <v>78</v>
      </c>
      <c r="O86" s="41" t="s">
        <v>28</v>
      </c>
      <c r="P86" s="44">
        <f t="shared" si="29"/>
        <v>0</v>
      </c>
      <c r="Q86" s="38">
        <v>46097</v>
      </c>
      <c r="R86" s="46">
        <f t="shared" ca="1" si="30"/>
        <v>0</v>
      </c>
      <c r="S86" s="39" t="s">
        <v>37</v>
      </c>
      <c r="T86" s="39" t="s">
        <v>38</v>
      </c>
      <c r="U86" s="22" t="str">
        <f ca="1">IF(R86=GENERALIDADES!$I$1,#REF!,"0")</f>
        <v>0</v>
      </c>
      <c r="V86" s="42" t="s">
        <v>39</v>
      </c>
      <c r="W86" s="42" t="s">
        <v>38</v>
      </c>
      <c r="X86" s="22" t="str">
        <f ca="1">IF(U86=GENERALIDADES!$K$3,T86,"0")</f>
        <v>0</v>
      </c>
      <c r="Y86" s="39" t="s">
        <v>17</v>
      </c>
      <c r="Z86" s="39" t="s">
        <v>39</v>
      </c>
      <c r="AA86" s="40"/>
      <c r="AB86" s="39"/>
      <c r="AC86" s="41" t="s">
        <v>32</v>
      </c>
      <c r="AD86" s="22">
        <f t="shared" si="31"/>
        <v>0</v>
      </c>
      <c r="AE86" s="24">
        <f t="shared" si="32"/>
        <v>1</v>
      </c>
      <c r="AF86" s="36" t="b">
        <f t="shared" si="33"/>
        <v>1</v>
      </c>
    </row>
    <row r="87" spans="1:32" ht="75.75">
      <c r="A87" s="37" t="s">
        <v>573</v>
      </c>
      <c r="B87" s="38">
        <v>46097</v>
      </c>
      <c r="C87" s="39" t="s">
        <v>70</v>
      </c>
      <c r="D87" s="52" t="s">
        <v>222</v>
      </c>
      <c r="E87" s="52" t="s">
        <v>271</v>
      </c>
      <c r="F87" s="53" t="s">
        <v>574</v>
      </c>
      <c r="G87" s="58" t="s">
        <v>575</v>
      </c>
      <c r="H87" s="39" t="s">
        <v>119</v>
      </c>
      <c r="I87" s="39"/>
      <c r="J87" s="40" t="s">
        <v>576</v>
      </c>
      <c r="K87" s="40" t="s">
        <v>423</v>
      </c>
      <c r="L87" s="39" t="s">
        <v>26</v>
      </c>
      <c r="M87" s="49">
        <v>46097</v>
      </c>
      <c r="N87" s="41" t="s">
        <v>78</v>
      </c>
      <c r="O87" s="41" t="s">
        <v>28</v>
      </c>
      <c r="P87" s="44">
        <f t="shared" si="29"/>
        <v>0</v>
      </c>
      <c r="Q87" s="49">
        <v>46097</v>
      </c>
      <c r="R87" s="46">
        <f t="shared" ca="1" si="30"/>
        <v>0</v>
      </c>
      <c r="S87" s="39" t="s">
        <v>37</v>
      </c>
      <c r="T87" s="39" t="s">
        <v>38</v>
      </c>
      <c r="U87" s="22" t="str">
        <f ca="1">IF(R87=GENERALIDADES!$I$1,#REF!,"0")</f>
        <v>0</v>
      </c>
      <c r="V87" s="42" t="s">
        <v>39</v>
      </c>
      <c r="W87" s="42" t="s">
        <v>38</v>
      </c>
      <c r="X87" s="22" t="str">
        <f ca="1">IF(U87=GENERALIDADES!$K$3,T87,"0")</f>
        <v>0</v>
      </c>
      <c r="Y87" s="39" t="s">
        <v>52</v>
      </c>
      <c r="Z87" s="39" t="s">
        <v>29</v>
      </c>
      <c r="AA87" s="40" t="s">
        <v>577</v>
      </c>
      <c r="AB87" s="39"/>
      <c r="AC87" s="41" t="s">
        <v>32</v>
      </c>
      <c r="AD87" s="22">
        <f t="shared" si="31"/>
        <v>0</v>
      </c>
      <c r="AE87" s="24">
        <f t="shared" si="32"/>
        <v>1</v>
      </c>
      <c r="AF87" s="36" t="b">
        <f t="shared" si="33"/>
        <v>1</v>
      </c>
    </row>
    <row r="88" spans="1:32" ht="138">
      <c r="A88" s="37" t="s">
        <v>578</v>
      </c>
      <c r="B88" s="38">
        <v>46097</v>
      </c>
      <c r="C88" s="39" t="s">
        <v>22</v>
      </c>
      <c r="D88" s="52" t="s">
        <v>579</v>
      </c>
      <c r="E88" s="52" t="s">
        <v>580</v>
      </c>
      <c r="F88" s="53" t="s">
        <v>581</v>
      </c>
      <c r="G88" s="58" t="s">
        <v>582</v>
      </c>
      <c r="H88" s="39" t="s">
        <v>69</v>
      </c>
      <c r="I88" s="39"/>
      <c r="J88" s="40" t="s">
        <v>583</v>
      </c>
      <c r="K88" s="40" t="s">
        <v>584</v>
      </c>
      <c r="L88" s="39" t="s">
        <v>26</v>
      </c>
      <c r="M88" s="38">
        <v>46097</v>
      </c>
      <c r="N88" s="41" t="s">
        <v>58</v>
      </c>
      <c r="O88" s="41" t="s">
        <v>51</v>
      </c>
      <c r="P88" s="44">
        <f t="shared" si="29"/>
        <v>0</v>
      </c>
      <c r="Q88" s="38">
        <v>46097</v>
      </c>
      <c r="R88" s="46">
        <v>1</v>
      </c>
      <c r="S88" s="39" t="s">
        <v>23</v>
      </c>
      <c r="T88" s="39" t="s">
        <v>48</v>
      </c>
      <c r="U88" s="22" t="str">
        <f>IF(R88=GENERALIDADES!$I$1,#REF!,"0")</f>
        <v>0</v>
      </c>
      <c r="V88" s="42" t="s">
        <v>39</v>
      </c>
      <c r="W88" s="42" t="s">
        <v>38</v>
      </c>
      <c r="X88" s="22" t="str">
        <f>IF(U88=GENERALIDADES!$K$3,T88,"0")</f>
        <v>0</v>
      </c>
      <c r="Y88" s="39" t="s">
        <v>59</v>
      </c>
      <c r="Z88" s="39" t="s">
        <v>39</v>
      </c>
      <c r="AA88" s="40"/>
      <c r="AB88" s="39"/>
      <c r="AC88" s="41" t="s">
        <v>60</v>
      </c>
      <c r="AD88" s="22">
        <f t="shared" si="31"/>
        <v>0</v>
      </c>
      <c r="AE88" s="24">
        <f t="shared" si="32"/>
        <v>1</v>
      </c>
      <c r="AF88" s="36" t="b">
        <f t="shared" si="33"/>
        <v>1</v>
      </c>
    </row>
    <row r="89" spans="1:32" ht="50.25">
      <c r="A89" s="37" t="s">
        <v>585</v>
      </c>
      <c r="B89" s="38">
        <v>46097</v>
      </c>
      <c r="C89" s="39" t="s">
        <v>124</v>
      </c>
      <c r="D89" s="52" t="s">
        <v>38</v>
      </c>
      <c r="E89" s="52" t="s">
        <v>38</v>
      </c>
      <c r="F89" s="53" t="s">
        <v>38</v>
      </c>
      <c r="G89" s="58" t="s">
        <v>38</v>
      </c>
      <c r="H89" s="39" t="s">
        <v>143</v>
      </c>
      <c r="I89" s="39"/>
      <c r="J89" s="40" t="s">
        <v>586</v>
      </c>
      <c r="K89" s="40" t="s">
        <v>587</v>
      </c>
      <c r="L89" s="39" t="s">
        <v>26</v>
      </c>
      <c r="M89" s="38">
        <v>46098</v>
      </c>
      <c r="N89" s="41" t="s">
        <v>78</v>
      </c>
      <c r="O89" s="41" t="s">
        <v>28</v>
      </c>
      <c r="P89" s="44">
        <f t="shared" si="29"/>
        <v>1</v>
      </c>
      <c r="Q89" s="38">
        <v>46098</v>
      </c>
      <c r="R89" s="46">
        <f t="shared" ca="1" si="30"/>
        <v>1</v>
      </c>
      <c r="S89" s="39" t="s">
        <v>37</v>
      </c>
      <c r="T89" s="39" t="s">
        <v>38</v>
      </c>
      <c r="U89" s="22" t="str">
        <f ca="1">IF(R89=GENERALIDADES!$I$1,#REF!,"0")</f>
        <v>0</v>
      </c>
      <c r="V89" s="42" t="s">
        <v>39</v>
      </c>
      <c r="W89" s="42" t="s">
        <v>38</v>
      </c>
      <c r="X89" s="22" t="str">
        <f ca="1">IF(U89=GENERALIDADES!$K$3,T89,"0")</f>
        <v>0</v>
      </c>
      <c r="Y89" s="39" t="s">
        <v>59</v>
      </c>
      <c r="Z89" s="39" t="s">
        <v>39</v>
      </c>
      <c r="AA89" s="40"/>
      <c r="AB89" s="39"/>
      <c r="AC89" s="41" t="s">
        <v>32</v>
      </c>
      <c r="AD89" s="22">
        <f t="shared" si="31"/>
        <v>1</v>
      </c>
      <c r="AE89" s="24">
        <f t="shared" si="32"/>
        <v>2</v>
      </c>
      <c r="AF89" s="36" t="b">
        <f t="shared" si="33"/>
        <v>1</v>
      </c>
    </row>
    <row r="90" spans="1:32" ht="75.75">
      <c r="A90" s="37" t="s">
        <v>588</v>
      </c>
      <c r="B90" s="38">
        <v>46097</v>
      </c>
      <c r="C90" s="39" t="s">
        <v>152</v>
      </c>
      <c r="D90" s="52" t="s">
        <v>290</v>
      </c>
      <c r="E90" s="52" t="s">
        <v>589</v>
      </c>
      <c r="F90" s="53" t="s">
        <v>590</v>
      </c>
      <c r="G90" s="58">
        <v>572072</v>
      </c>
      <c r="H90" s="39" t="s">
        <v>155</v>
      </c>
      <c r="I90" s="39"/>
      <c r="J90" s="40" t="s">
        <v>591</v>
      </c>
      <c r="K90" s="40" t="s">
        <v>592</v>
      </c>
      <c r="L90" s="39" t="s">
        <v>26</v>
      </c>
      <c r="M90" s="38">
        <v>46097</v>
      </c>
      <c r="N90" s="41" t="s">
        <v>78</v>
      </c>
      <c r="O90" s="41" t="s">
        <v>28</v>
      </c>
      <c r="P90" s="44">
        <f t="shared" si="29"/>
        <v>0</v>
      </c>
      <c r="Q90" s="38">
        <v>46097</v>
      </c>
      <c r="R90" s="46">
        <f t="shared" ca="1" si="30"/>
        <v>0</v>
      </c>
      <c r="S90" s="39" t="s">
        <v>37</v>
      </c>
      <c r="T90" s="39" t="s">
        <v>38</v>
      </c>
      <c r="U90" s="22" t="str">
        <f ca="1">IF(R90=GENERALIDADES!$I$1,#REF!,"0")</f>
        <v>0</v>
      </c>
      <c r="V90" s="42" t="s">
        <v>39</v>
      </c>
      <c r="W90" s="42" t="s">
        <v>38</v>
      </c>
      <c r="X90" s="22" t="str">
        <f ca="1">IF(U90=GENERALIDADES!$K$3,T90,"0")</f>
        <v>0</v>
      </c>
      <c r="Y90" s="39" t="s">
        <v>112</v>
      </c>
      <c r="Z90" s="39" t="s">
        <v>39</v>
      </c>
      <c r="AA90" s="40"/>
      <c r="AB90" s="39"/>
      <c r="AC90" s="41" t="s">
        <v>32</v>
      </c>
      <c r="AD90" s="22">
        <f t="shared" si="31"/>
        <v>0</v>
      </c>
      <c r="AE90" s="24">
        <f t="shared" si="32"/>
        <v>1</v>
      </c>
      <c r="AF90" s="36" t="b">
        <f t="shared" si="33"/>
        <v>1</v>
      </c>
    </row>
    <row r="91" spans="1:32" ht="50.25">
      <c r="A91" s="37" t="s">
        <v>593</v>
      </c>
      <c r="B91" s="38">
        <v>46097</v>
      </c>
      <c r="C91" s="39" t="s">
        <v>107</v>
      </c>
      <c r="D91" s="52"/>
      <c r="E91" s="52"/>
      <c r="F91" s="53"/>
      <c r="G91" s="58"/>
      <c r="H91" s="39" t="s">
        <v>157</v>
      </c>
      <c r="I91" s="39"/>
      <c r="J91" s="40" t="s">
        <v>594</v>
      </c>
      <c r="K91" s="40" t="str">
        <f>LOWER(Marzo_2026[[#This Row],[DESCRIPCIÓN DE DAÑO]])</f>
        <v>buenas tardes, por favor revisar glucometro de consultorio de urgencias adultos ya que no prende, por favor urgente, muchas gracias.</v>
      </c>
      <c r="L91" s="39"/>
      <c r="M91" s="49"/>
      <c r="N91" s="41" t="s">
        <v>78</v>
      </c>
      <c r="O91" s="41"/>
      <c r="P91" s="44">
        <f t="shared" si="29"/>
        <v>-46097</v>
      </c>
      <c r="Q91" s="49"/>
      <c r="R91" s="46">
        <f t="shared" ca="1" si="30"/>
        <v>17.649708101853321</v>
      </c>
      <c r="S91" s="39"/>
      <c r="T91" s="39"/>
      <c r="U91" s="22" t="str">
        <f ca="1">IF(R91=GENERALIDADES!$I$1,#REF!,"0")</f>
        <v>0</v>
      </c>
      <c r="V91" s="42"/>
      <c r="W91" s="42"/>
      <c r="X91" s="22" t="str">
        <f ca="1">IF(U91=GENERALIDADES!$K$3,T91,"0")</f>
        <v>0</v>
      </c>
      <c r="Y91" s="39"/>
      <c r="Z91" s="39"/>
      <c r="AA91" s="40"/>
      <c r="AB91" s="39"/>
      <c r="AC91" s="41"/>
      <c r="AD91" s="22">
        <f t="shared" si="31"/>
        <v>-46097</v>
      </c>
      <c r="AE91" s="24">
        <f t="shared" si="32"/>
        <v>-32926</v>
      </c>
      <c r="AF91" s="36" t="b">
        <f t="shared" si="33"/>
        <v>1</v>
      </c>
    </row>
    <row r="92" spans="1:32" ht="75.75">
      <c r="A92" s="37" t="s">
        <v>595</v>
      </c>
      <c r="B92" s="38">
        <v>46097</v>
      </c>
      <c r="C92" s="39" t="s">
        <v>70</v>
      </c>
      <c r="D92" s="52" t="s">
        <v>38</v>
      </c>
      <c r="E92" s="52" t="s">
        <v>38</v>
      </c>
      <c r="F92" s="53" t="s">
        <v>38</v>
      </c>
      <c r="G92" s="58" t="s">
        <v>38</v>
      </c>
      <c r="H92" s="39" t="s">
        <v>141</v>
      </c>
      <c r="I92" s="39"/>
      <c r="J92" s="40" t="s">
        <v>596</v>
      </c>
      <c r="K92" s="40" t="s">
        <v>597</v>
      </c>
      <c r="L92" s="39" t="s">
        <v>64</v>
      </c>
      <c r="M92" s="49">
        <v>46098</v>
      </c>
      <c r="N92" s="41" t="s">
        <v>78</v>
      </c>
      <c r="O92" s="41" t="s">
        <v>28</v>
      </c>
      <c r="P92" s="44">
        <f t="shared" si="29"/>
        <v>1</v>
      </c>
      <c r="Q92" s="49">
        <v>46098</v>
      </c>
      <c r="R92" s="46">
        <f t="shared" ca="1" si="30"/>
        <v>1</v>
      </c>
      <c r="S92" s="39" t="s">
        <v>37</v>
      </c>
      <c r="T92" s="39" t="s">
        <v>38</v>
      </c>
      <c r="U92" s="22" t="str">
        <f ca="1">IF(R92=GENERALIDADES!$I$1,#REF!,"0")</f>
        <v>0</v>
      </c>
      <c r="V92" s="42" t="s">
        <v>39</v>
      </c>
      <c r="W92" s="42" t="s">
        <v>38</v>
      </c>
      <c r="X92" s="22" t="str">
        <f ca="1">IF(U92=GENERALIDADES!$K$3,T92,"0")</f>
        <v>0</v>
      </c>
      <c r="Y92" s="39" t="s">
        <v>52</v>
      </c>
      <c r="Z92" s="39" t="s">
        <v>29</v>
      </c>
      <c r="AA92" s="40" t="s">
        <v>598</v>
      </c>
      <c r="AB92" s="39"/>
      <c r="AC92" s="41" t="s">
        <v>32</v>
      </c>
      <c r="AD92" s="22">
        <f t="shared" si="31"/>
        <v>1</v>
      </c>
      <c r="AE92" s="24">
        <f t="shared" si="32"/>
        <v>2</v>
      </c>
      <c r="AF92" s="36" t="b">
        <f t="shared" si="33"/>
        <v>1</v>
      </c>
    </row>
    <row r="93" spans="1:32" ht="75.75">
      <c r="A93" s="37" t="s">
        <v>599</v>
      </c>
      <c r="B93" s="38">
        <v>46098</v>
      </c>
      <c r="C93" s="39" t="s">
        <v>70</v>
      </c>
      <c r="D93" s="52" t="s">
        <v>281</v>
      </c>
      <c r="E93" s="52" t="s">
        <v>282</v>
      </c>
      <c r="F93" s="53" t="s">
        <v>600</v>
      </c>
      <c r="G93" s="58" t="s">
        <v>601</v>
      </c>
      <c r="H93" s="39" t="s">
        <v>119</v>
      </c>
      <c r="I93" s="39"/>
      <c r="J93" s="40" t="s">
        <v>602</v>
      </c>
      <c r="K93" s="40" t="s">
        <v>603</v>
      </c>
      <c r="L93" s="39" t="s">
        <v>26</v>
      </c>
      <c r="M93" s="38">
        <v>46099</v>
      </c>
      <c r="N93" s="41" t="s">
        <v>78</v>
      </c>
      <c r="O93" s="41" t="s">
        <v>28</v>
      </c>
      <c r="P93" s="44">
        <f t="shared" si="29"/>
        <v>1</v>
      </c>
      <c r="Q93" s="38">
        <v>46099</v>
      </c>
      <c r="R93" s="46">
        <f t="shared" ca="1" si="30"/>
        <v>1</v>
      </c>
      <c r="S93" s="39" t="s">
        <v>37</v>
      </c>
      <c r="T93" s="39" t="s">
        <v>38</v>
      </c>
      <c r="U93" s="22" t="str">
        <f ca="1">IF(R93=GENERALIDADES!$I$1,#REF!,"0")</f>
        <v>0</v>
      </c>
      <c r="V93" s="42" t="s">
        <v>39</v>
      </c>
      <c r="W93" s="42" t="s">
        <v>38</v>
      </c>
      <c r="X93" s="22" t="str">
        <f ca="1">IF(U93=GENERALIDADES!$K$3,T93,"0")</f>
        <v>0</v>
      </c>
      <c r="Y93" s="39" t="s">
        <v>112</v>
      </c>
      <c r="Z93" s="39" t="s">
        <v>39</v>
      </c>
      <c r="AA93" s="40"/>
      <c r="AB93" s="39"/>
      <c r="AC93" s="41" t="s">
        <v>32</v>
      </c>
      <c r="AD93" s="22">
        <f t="shared" si="31"/>
        <v>1</v>
      </c>
      <c r="AE93" s="24">
        <f t="shared" si="32"/>
        <v>2</v>
      </c>
      <c r="AF93" s="36" t="b">
        <f t="shared" si="33"/>
        <v>1</v>
      </c>
    </row>
    <row r="94" spans="1:32" ht="75.75">
      <c r="A94" s="37" t="s">
        <v>604</v>
      </c>
      <c r="B94" s="38">
        <v>46098</v>
      </c>
      <c r="C94" s="39" t="s">
        <v>70</v>
      </c>
      <c r="D94" s="52" t="s">
        <v>38</v>
      </c>
      <c r="E94" s="52" t="s">
        <v>38</v>
      </c>
      <c r="F94" s="53" t="s">
        <v>38</v>
      </c>
      <c r="G94" s="58" t="s">
        <v>38</v>
      </c>
      <c r="H94" s="39" t="s">
        <v>81</v>
      </c>
      <c r="I94" s="39"/>
      <c r="J94" s="40" t="s">
        <v>605</v>
      </c>
      <c r="K94" s="40" t="s">
        <v>606</v>
      </c>
      <c r="L94" s="39" t="s">
        <v>40</v>
      </c>
      <c r="M94" s="49">
        <v>46098</v>
      </c>
      <c r="N94" s="41" t="s">
        <v>78</v>
      </c>
      <c r="O94" s="41" t="s">
        <v>28</v>
      </c>
      <c r="P94" s="44">
        <f t="shared" si="29"/>
        <v>0</v>
      </c>
      <c r="Q94" s="49">
        <v>46098</v>
      </c>
      <c r="R94" s="46">
        <f t="shared" ca="1" si="30"/>
        <v>0</v>
      </c>
      <c r="S94" s="39" t="s">
        <v>37</v>
      </c>
      <c r="T94" s="39" t="s">
        <v>38</v>
      </c>
      <c r="U94" s="22" t="str">
        <f ca="1">IF(R94=GENERALIDADES!$I$1,#REF!,"0")</f>
        <v>0</v>
      </c>
      <c r="V94" s="42" t="s">
        <v>39</v>
      </c>
      <c r="W94" s="42" t="s">
        <v>38</v>
      </c>
      <c r="X94" s="22" t="str">
        <f ca="1">IF(U94=GENERALIDADES!$K$3,T94,"0")</f>
        <v>0</v>
      </c>
      <c r="Y94" s="39" t="s">
        <v>52</v>
      </c>
      <c r="Z94" s="39" t="s">
        <v>29</v>
      </c>
      <c r="AA94" s="40" t="s">
        <v>305</v>
      </c>
      <c r="AB94" s="39"/>
      <c r="AC94" s="41" t="s">
        <v>32</v>
      </c>
      <c r="AD94" s="22">
        <f t="shared" si="31"/>
        <v>0</v>
      </c>
      <c r="AE94" s="24">
        <f t="shared" si="32"/>
        <v>1</v>
      </c>
      <c r="AF94" s="36" t="b">
        <f t="shared" si="33"/>
        <v>1</v>
      </c>
    </row>
    <row r="95" spans="1:32" ht="62.25">
      <c r="A95" s="37" t="s">
        <v>607</v>
      </c>
      <c r="B95" s="38">
        <v>46099</v>
      </c>
      <c r="C95" s="39" t="s">
        <v>122</v>
      </c>
      <c r="D95" s="52" t="s">
        <v>312</v>
      </c>
      <c r="E95" s="52" t="s">
        <v>313</v>
      </c>
      <c r="F95" s="53">
        <v>502382</v>
      </c>
      <c r="G95" s="58">
        <v>545498</v>
      </c>
      <c r="H95" s="39" t="s">
        <v>119</v>
      </c>
      <c r="I95" s="39"/>
      <c r="J95" s="40" t="s">
        <v>608</v>
      </c>
      <c r="K95" s="40" t="s">
        <v>609</v>
      </c>
      <c r="L95" s="39" t="s">
        <v>26</v>
      </c>
      <c r="M95" s="38">
        <v>46099</v>
      </c>
      <c r="N95" s="41" t="s">
        <v>78</v>
      </c>
      <c r="O95" s="41" t="s">
        <v>28</v>
      </c>
      <c r="P95" s="44">
        <f t="shared" ref="P95" si="36">M95-B95</f>
        <v>0</v>
      </c>
      <c r="Q95" s="38">
        <v>46099</v>
      </c>
      <c r="R95" s="46">
        <f t="shared" ref="R95" ca="1" si="37">IF(Q95-B95&lt;0,NOW()-B95,Q95-B95)</f>
        <v>0</v>
      </c>
      <c r="S95" s="39" t="s">
        <v>37</v>
      </c>
      <c r="T95" s="39" t="s">
        <v>38</v>
      </c>
      <c r="U95" s="22" t="str">
        <f ca="1">IF(R95=GENERALIDADES!$I$1,#REF!,"0")</f>
        <v>0</v>
      </c>
      <c r="V95" s="42" t="s">
        <v>39</v>
      </c>
      <c r="W95" s="42" t="s">
        <v>38</v>
      </c>
      <c r="X95" s="22" t="str">
        <f ca="1">IF(U95=GENERALIDADES!$K$3,T95,"0")</f>
        <v>0</v>
      </c>
      <c r="Y95" s="39" t="s">
        <v>112</v>
      </c>
      <c r="Z95" s="39" t="s">
        <v>39</v>
      </c>
      <c r="AA95" s="40"/>
      <c r="AB95" s="39"/>
      <c r="AC95" s="41" t="s">
        <v>32</v>
      </c>
      <c r="AD95" s="22">
        <f t="shared" si="31"/>
        <v>0</v>
      </c>
      <c r="AE95" s="24">
        <f t="shared" si="32"/>
        <v>1</v>
      </c>
      <c r="AF95" s="36" t="b">
        <f t="shared" si="33"/>
        <v>1</v>
      </c>
    </row>
    <row r="96" spans="1:32" ht="50.25">
      <c r="A96" s="37" t="s">
        <v>610</v>
      </c>
      <c r="B96" s="38">
        <v>46099</v>
      </c>
      <c r="C96" s="39" t="s">
        <v>115</v>
      </c>
      <c r="D96" s="52" t="s">
        <v>243</v>
      </c>
      <c r="E96" s="52" t="s">
        <v>244</v>
      </c>
      <c r="F96" s="53" t="s">
        <v>611</v>
      </c>
      <c r="G96" s="58">
        <v>572792</v>
      </c>
      <c r="H96" s="39" t="s">
        <v>153</v>
      </c>
      <c r="I96" s="39"/>
      <c r="J96" s="40" t="s">
        <v>612</v>
      </c>
      <c r="K96" s="40" t="s">
        <v>613</v>
      </c>
      <c r="L96" s="39" t="s">
        <v>26</v>
      </c>
      <c r="M96" s="38">
        <v>46099</v>
      </c>
      <c r="N96" s="41" t="s">
        <v>78</v>
      </c>
      <c r="O96" s="41" t="s">
        <v>28</v>
      </c>
      <c r="P96" s="44">
        <f t="shared" si="29"/>
        <v>0</v>
      </c>
      <c r="Q96" s="38">
        <v>46099</v>
      </c>
      <c r="R96" s="46">
        <f t="shared" ca="1" si="30"/>
        <v>0</v>
      </c>
      <c r="S96" s="39" t="s">
        <v>37</v>
      </c>
      <c r="T96" s="39" t="s">
        <v>38</v>
      </c>
      <c r="U96" s="22" t="str">
        <f ca="1">IF(R96=GENERALIDADES!$I$1,#REF!,"0")</f>
        <v>0</v>
      </c>
      <c r="V96" s="42" t="s">
        <v>39</v>
      </c>
      <c r="W96" s="42" t="s">
        <v>38</v>
      </c>
      <c r="X96" s="22" t="str">
        <f ca="1">IF(U96=GENERALIDADES!$K$3,T96,"0")</f>
        <v>0</v>
      </c>
      <c r="Y96" s="39" t="s">
        <v>52</v>
      </c>
      <c r="Z96" s="39" t="s">
        <v>39</v>
      </c>
      <c r="AA96" s="40"/>
      <c r="AB96" s="39"/>
      <c r="AC96" s="41" t="s">
        <v>32</v>
      </c>
      <c r="AD96" s="22">
        <f t="shared" si="31"/>
        <v>0</v>
      </c>
      <c r="AE96" s="24">
        <f t="shared" si="32"/>
        <v>1</v>
      </c>
      <c r="AF96" s="36" t="b">
        <f t="shared" si="33"/>
        <v>1</v>
      </c>
    </row>
    <row r="97" spans="1:32" ht="62.25">
      <c r="A97" s="37" t="s">
        <v>614</v>
      </c>
      <c r="B97" s="38">
        <v>46099</v>
      </c>
      <c r="C97" s="39" t="s">
        <v>70</v>
      </c>
      <c r="D97" s="52" t="s">
        <v>222</v>
      </c>
      <c r="E97" s="52" t="s">
        <v>615</v>
      </c>
      <c r="F97" s="53" t="s">
        <v>616</v>
      </c>
      <c r="G97" s="58">
        <v>545622</v>
      </c>
      <c r="H97" s="39" t="s">
        <v>110</v>
      </c>
      <c r="I97" s="39"/>
      <c r="J97" s="40" t="s">
        <v>617</v>
      </c>
      <c r="K97" s="40" t="s">
        <v>618</v>
      </c>
      <c r="L97" s="39" t="s">
        <v>26</v>
      </c>
      <c r="M97" s="38">
        <v>46099</v>
      </c>
      <c r="N97" s="41" t="s">
        <v>58</v>
      </c>
      <c r="O97" s="41" t="s">
        <v>28</v>
      </c>
      <c r="P97" s="44">
        <f t="shared" si="29"/>
        <v>0</v>
      </c>
      <c r="Q97" s="38">
        <v>46099</v>
      </c>
      <c r="R97" s="46">
        <f t="shared" ca="1" si="30"/>
        <v>0</v>
      </c>
      <c r="S97" s="39" t="s">
        <v>37</v>
      </c>
      <c r="T97" s="39" t="s">
        <v>38</v>
      </c>
      <c r="U97" s="22" t="str">
        <f ca="1">IF(R97=GENERALIDADES!$I$1,#REF!,"0")</f>
        <v>0</v>
      </c>
      <c r="V97" s="42" t="s">
        <v>39</v>
      </c>
      <c r="W97" s="42" t="s">
        <v>220</v>
      </c>
      <c r="X97" s="22" t="str">
        <f ca="1">IF(U97=GENERALIDADES!$K$3,T97,"0")</f>
        <v>0</v>
      </c>
      <c r="Y97" s="39" t="s">
        <v>31</v>
      </c>
      <c r="Z97" s="39" t="s">
        <v>39</v>
      </c>
      <c r="AA97" s="40"/>
      <c r="AB97" s="39"/>
      <c r="AC97" s="41" t="s">
        <v>67</v>
      </c>
      <c r="AD97" s="22">
        <f t="shared" si="31"/>
        <v>0</v>
      </c>
      <c r="AE97" s="24">
        <f t="shared" si="32"/>
        <v>1</v>
      </c>
      <c r="AF97" s="36" t="b">
        <f t="shared" si="33"/>
        <v>1</v>
      </c>
    </row>
    <row r="98" spans="1:32" ht="88.5">
      <c r="A98" s="37" t="s">
        <v>619</v>
      </c>
      <c r="B98" s="38">
        <v>46099</v>
      </c>
      <c r="C98" s="39" t="s">
        <v>158</v>
      </c>
      <c r="D98" s="52" t="s">
        <v>38</v>
      </c>
      <c r="E98" s="52" t="s">
        <v>38</v>
      </c>
      <c r="F98" s="53" t="s">
        <v>38</v>
      </c>
      <c r="G98" s="58" t="s">
        <v>38</v>
      </c>
      <c r="H98" s="39" t="s">
        <v>151</v>
      </c>
      <c r="I98" s="39"/>
      <c r="J98" s="40" t="s">
        <v>620</v>
      </c>
      <c r="K98" s="40" t="s">
        <v>621</v>
      </c>
      <c r="L98" s="39" t="s">
        <v>26</v>
      </c>
      <c r="M98" s="49">
        <v>46106</v>
      </c>
      <c r="N98" s="41" t="s">
        <v>78</v>
      </c>
      <c r="O98" s="41" t="s">
        <v>28</v>
      </c>
      <c r="P98" s="44">
        <f t="shared" si="29"/>
        <v>7</v>
      </c>
      <c r="Q98" s="49">
        <v>46106</v>
      </c>
      <c r="R98" s="46">
        <f t="shared" ca="1" si="30"/>
        <v>7</v>
      </c>
      <c r="S98" s="39" t="s">
        <v>37</v>
      </c>
      <c r="T98" s="39" t="s">
        <v>38</v>
      </c>
      <c r="U98" s="22" t="str">
        <f ca="1">IF(R98=GENERALIDADES!$I$1,#REF!,"0")</f>
        <v>0</v>
      </c>
      <c r="V98" s="42" t="s">
        <v>39</v>
      </c>
      <c r="W98" s="42" t="s">
        <v>220</v>
      </c>
      <c r="X98" s="22" t="str">
        <f ca="1">IF(U98=GENERALIDADES!$K$3,T98,"0")</f>
        <v>0</v>
      </c>
      <c r="Y98" s="39" t="s">
        <v>31</v>
      </c>
      <c r="Z98" s="39" t="s">
        <v>29</v>
      </c>
      <c r="AA98" s="40" t="s">
        <v>622</v>
      </c>
      <c r="AB98" s="39"/>
      <c r="AC98" s="41" t="s">
        <v>32</v>
      </c>
      <c r="AD98" s="22">
        <f t="shared" si="31"/>
        <v>7</v>
      </c>
      <c r="AE98" s="24">
        <f t="shared" si="32"/>
        <v>6</v>
      </c>
      <c r="AF98" s="36" t="b">
        <f t="shared" si="33"/>
        <v>0</v>
      </c>
    </row>
    <row r="99" spans="1:32" ht="50.25">
      <c r="A99" s="37" t="s">
        <v>623</v>
      </c>
      <c r="B99" s="38">
        <v>46099</v>
      </c>
      <c r="C99" s="39" t="s">
        <v>70</v>
      </c>
      <c r="D99" s="52" t="s">
        <v>38</v>
      </c>
      <c r="E99" s="52" t="s">
        <v>38</v>
      </c>
      <c r="F99" s="53" t="s">
        <v>38</v>
      </c>
      <c r="G99" s="58" t="s">
        <v>38</v>
      </c>
      <c r="H99" s="39" t="s">
        <v>98</v>
      </c>
      <c r="I99" s="39" t="s">
        <v>202</v>
      </c>
      <c r="J99" s="40" t="s">
        <v>624</v>
      </c>
      <c r="K99" s="40" t="s">
        <v>625</v>
      </c>
      <c r="L99" s="39" t="s">
        <v>26</v>
      </c>
      <c r="M99" s="49">
        <v>46101</v>
      </c>
      <c r="N99" s="41" t="s">
        <v>78</v>
      </c>
      <c r="O99" s="41" t="s">
        <v>28</v>
      </c>
      <c r="P99" s="44">
        <f t="shared" si="29"/>
        <v>2</v>
      </c>
      <c r="Q99" s="49">
        <v>46101</v>
      </c>
      <c r="R99" s="46">
        <f t="shared" ca="1" si="30"/>
        <v>2</v>
      </c>
      <c r="S99" s="39" t="s">
        <v>37</v>
      </c>
      <c r="T99" s="39" t="s">
        <v>38</v>
      </c>
      <c r="U99" s="22" t="str">
        <f ca="1">IF(R99=GENERALIDADES!$I$1,#REF!,"0")</f>
        <v>0</v>
      </c>
      <c r="V99" s="42" t="s">
        <v>39</v>
      </c>
      <c r="W99" s="42" t="s">
        <v>38</v>
      </c>
      <c r="X99" s="22" t="str">
        <f ca="1">IF(U99=GENERALIDADES!$K$3,T99,"0")</f>
        <v>0</v>
      </c>
      <c r="Y99" s="39" t="s">
        <v>112</v>
      </c>
      <c r="Z99" s="39" t="s">
        <v>39</v>
      </c>
      <c r="AA99" s="40"/>
      <c r="AB99" s="39"/>
      <c r="AC99" s="41" t="s">
        <v>32</v>
      </c>
      <c r="AD99" s="22">
        <f t="shared" si="31"/>
        <v>2</v>
      </c>
      <c r="AE99" s="24">
        <f t="shared" si="32"/>
        <v>3</v>
      </c>
      <c r="AF99" s="36" t="b">
        <f t="shared" si="33"/>
        <v>1</v>
      </c>
    </row>
    <row r="100" spans="1:32" ht="50.25">
      <c r="A100" s="37" t="s">
        <v>626</v>
      </c>
      <c r="B100" s="38">
        <v>46100</v>
      </c>
      <c r="C100" s="39" t="s">
        <v>158</v>
      </c>
      <c r="D100" s="52" t="s">
        <v>38</v>
      </c>
      <c r="E100" s="52" t="s">
        <v>38</v>
      </c>
      <c r="F100" s="53" t="s">
        <v>38</v>
      </c>
      <c r="G100" s="58" t="s">
        <v>38</v>
      </c>
      <c r="H100" s="39" t="s">
        <v>141</v>
      </c>
      <c r="I100" s="39"/>
      <c r="J100" s="40" t="s">
        <v>627</v>
      </c>
      <c r="K100" s="40" t="s">
        <v>628</v>
      </c>
      <c r="L100" s="39" t="s">
        <v>26</v>
      </c>
      <c r="M100" s="38">
        <v>46100</v>
      </c>
      <c r="N100" s="41" t="s">
        <v>58</v>
      </c>
      <c r="O100" s="41" t="s">
        <v>42</v>
      </c>
      <c r="P100" s="44">
        <f t="shared" si="29"/>
        <v>0</v>
      </c>
      <c r="Q100" s="38">
        <v>46100</v>
      </c>
      <c r="R100" s="46">
        <f t="shared" ca="1" si="30"/>
        <v>0</v>
      </c>
      <c r="S100" s="39" t="s">
        <v>37</v>
      </c>
      <c r="T100" s="39" t="s">
        <v>38</v>
      </c>
      <c r="U100" s="22" t="str">
        <f ca="1">IF(R100=GENERALIDADES!$I$1,#REF!,"0")</f>
        <v>0</v>
      </c>
      <c r="V100" s="42" t="s">
        <v>39</v>
      </c>
      <c r="W100" s="42" t="s">
        <v>38</v>
      </c>
      <c r="X100" s="22" t="str">
        <f ca="1">IF(U100=GENERALIDADES!$K$3,T100,"0")</f>
        <v>0</v>
      </c>
      <c r="Y100" s="39" t="s">
        <v>31</v>
      </c>
      <c r="Z100" s="39" t="s">
        <v>39</v>
      </c>
      <c r="AA100" s="40"/>
      <c r="AB100" s="39"/>
      <c r="AC100" s="41" t="s">
        <v>32</v>
      </c>
      <c r="AD100" s="22">
        <f t="shared" si="31"/>
        <v>0</v>
      </c>
      <c r="AE100" s="24">
        <f t="shared" si="32"/>
        <v>1</v>
      </c>
      <c r="AF100" s="36" t="b">
        <f t="shared" si="33"/>
        <v>1</v>
      </c>
    </row>
    <row r="101" spans="1:32" ht="62.25">
      <c r="A101" s="37" t="s">
        <v>629</v>
      </c>
      <c r="B101" s="38">
        <v>46100</v>
      </c>
      <c r="C101" s="39" t="s">
        <v>70</v>
      </c>
      <c r="D101" s="52" t="s">
        <v>38</v>
      </c>
      <c r="E101" s="52" t="s">
        <v>38</v>
      </c>
      <c r="F101" s="53" t="s">
        <v>38</v>
      </c>
      <c r="G101" s="58" t="s">
        <v>38</v>
      </c>
      <c r="H101" s="39" t="s">
        <v>155</v>
      </c>
      <c r="I101" s="39"/>
      <c r="J101" s="40" t="s">
        <v>630</v>
      </c>
      <c r="K101" s="40" t="s">
        <v>631</v>
      </c>
      <c r="L101" s="39" t="s">
        <v>26</v>
      </c>
      <c r="M101" s="38">
        <v>46100</v>
      </c>
      <c r="N101" s="41" t="s">
        <v>78</v>
      </c>
      <c r="O101" s="41" t="s">
        <v>28</v>
      </c>
      <c r="P101" s="44">
        <f t="shared" si="29"/>
        <v>0</v>
      </c>
      <c r="Q101" s="38">
        <v>46100</v>
      </c>
      <c r="R101" s="46">
        <f t="shared" ca="1" si="30"/>
        <v>0</v>
      </c>
      <c r="S101" s="39" t="s">
        <v>37</v>
      </c>
      <c r="T101" s="39" t="s">
        <v>38</v>
      </c>
      <c r="U101" s="22" t="str">
        <f ca="1">IF(R101=GENERALIDADES!$I$1,#REF!,"0")</f>
        <v>0</v>
      </c>
      <c r="V101" s="42" t="s">
        <v>39</v>
      </c>
      <c r="W101" s="42" t="s">
        <v>38</v>
      </c>
      <c r="X101" s="22" t="str">
        <f ca="1">IF(U101=GENERALIDADES!$K$3,T101,"0")</f>
        <v>0</v>
      </c>
      <c r="Y101" s="39" t="s">
        <v>52</v>
      </c>
      <c r="Z101" s="39" t="s">
        <v>39</v>
      </c>
      <c r="AA101" s="40"/>
      <c r="AB101" s="39"/>
      <c r="AC101" s="41" t="s">
        <v>32</v>
      </c>
      <c r="AD101" s="22">
        <f t="shared" si="31"/>
        <v>0</v>
      </c>
      <c r="AE101" s="24">
        <f t="shared" si="32"/>
        <v>1</v>
      </c>
      <c r="AF101" s="36" t="b">
        <f t="shared" si="33"/>
        <v>1</v>
      </c>
    </row>
    <row r="102" spans="1:32" ht="50.25">
      <c r="A102" s="37" t="s">
        <v>632</v>
      </c>
      <c r="B102" s="38">
        <v>46100</v>
      </c>
      <c r="C102" s="39" t="s">
        <v>115</v>
      </c>
      <c r="D102" s="52" t="s">
        <v>342</v>
      </c>
      <c r="E102" s="52" t="s">
        <v>633</v>
      </c>
      <c r="F102" s="53" t="s">
        <v>634</v>
      </c>
      <c r="G102" s="58">
        <v>545143</v>
      </c>
      <c r="H102" s="39" t="s">
        <v>153</v>
      </c>
      <c r="I102" s="39"/>
      <c r="J102" s="40" t="s">
        <v>635</v>
      </c>
      <c r="K102" s="40" t="s">
        <v>636</v>
      </c>
      <c r="L102" s="39" t="s">
        <v>26</v>
      </c>
      <c r="M102" s="38">
        <v>46100</v>
      </c>
      <c r="N102" s="41" t="s">
        <v>58</v>
      </c>
      <c r="O102" s="41" t="s">
        <v>51</v>
      </c>
      <c r="P102" s="44">
        <f t="shared" si="29"/>
        <v>0</v>
      </c>
      <c r="Q102" s="38">
        <v>46100</v>
      </c>
      <c r="R102" s="46">
        <f t="shared" ca="1" si="30"/>
        <v>0</v>
      </c>
      <c r="S102" s="39" t="s">
        <v>23</v>
      </c>
      <c r="T102" s="39" t="s">
        <v>48</v>
      </c>
      <c r="U102" s="22" t="str">
        <f ca="1">IF(R102=GENERALIDADES!$I$1,#REF!,"0")</f>
        <v>0</v>
      </c>
      <c r="V102" s="42" t="s">
        <v>39</v>
      </c>
      <c r="W102" s="42" t="s">
        <v>38</v>
      </c>
      <c r="X102" s="22" t="str">
        <f ca="1">IF(U102=GENERALIDADES!$K$3,T102,"0")</f>
        <v>0</v>
      </c>
      <c r="Y102" s="39" t="s">
        <v>59</v>
      </c>
      <c r="Z102" s="39" t="s">
        <v>39</v>
      </c>
      <c r="AA102" s="40"/>
      <c r="AB102" s="39"/>
      <c r="AC102" s="41" t="s">
        <v>32</v>
      </c>
      <c r="AD102" s="22">
        <f t="shared" si="31"/>
        <v>0</v>
      </c>
      <c r="AE102" s="24">
        <f t="shared" si="32"/>
        <v>1</v>
      </c>
      <c r="AF102" s="36" t="b">
        <f t="shared" si="33"/>
        <v>1</v>
      </c>
    </row>
    <row r="103" spans="1:32" ht="50.25">
      <c r="A103" s="37" t="s">
        <v>637</v>
      </c>
      <c r="B103" s="38">
        <v>46100</v>
      </c>
      <c r="C103" s="39" t="s">
        <v>107</v>
      </c>
      <c r="D103" s="52" t="s">
        <v>38</v>
      </c>
      <c r="E103" s="52" t="s">
        <v>38</v>
      </c>
      <c r="F103" s="53" t="s">
        <v>38</v>
      </c>
      <c r="G103" s="58" t="s">
        <v>38</v>
      </c>
      <c r="H103" s="39" t="s">
        <v>98</v>
      </c>
      <c r="I103" s="39"/>
      <c r="J103" s="40" t="s">
        <v>638</v>
      </c>
      <c r="K103" s="40" t="s">
        <v>639</v>
      </c>
      <c r="L103" s="39" t="s">
        <v>26</v>
      </c>
      <c r="M103" s="38">
        <v>46100</v>
      </c>
      <c r="N103" s="41" t="s">
        <v>78</v>
      </c>
      <c r="O103" s="41" t="s">
        <v>28</v>
      </c>
      <c r="P103" s="44">
        <f t="shared" si="29"/>
        <v>0</v>
      </c>
      <c r="Q103" s="38">
        <v>46100</v>
      </c>
      <c r="R103" s="46">
        <f t="shared" ca="1" si="30"/>
        <v>0</v>
      </c>
      <c r="S103" s="39" t="s">
        <v>37</v>
      </c>
      <c r="T103" s="39" t="s">
        <v>38</v>
      </c>
      <c r="U103" s="22" t="str">
        <f ca="1">IF(R103=GENERALIDADES!$I$1,#REF!,"0")</f>
        <v>0</v>
      </c>
      <c r="V103" s="42" t="s">
        <v>39</v>
      </c>
      <c r="W103" s="42" t="s">
        <v>38</v>
      </c>
      <c r="X103" s="22" t="str">
        <f ca="1">IF(U103=GENERALIDADES!$K$3,T103,"0")</f>
        <v>0</v>
      </c>
      <c r="Y103" s="39" t="s">
        <v>59</v>
      </c>
      <c r="Z103" s="39" t="s">
        <v>39</v>
      </c>
      <c r="AA103" s="40"/>
      <c r="AB103" s="39"/>
      <c r="AC103" s="41" t="s">
        <v>32</v>
      </c>
      <c r="AD103" s="22">
        <f t="shared" si="31"/>
        <v>0</v>
      </c>
      <c r="AE103" s="24">
        <f t="shared" si="32"/>
        <v>1</v>
      </c>
      <c r="AF103" s="36" t="b">
        <f t="shared" si="33"/>
        <v>1</v>
      </c>
    </row>
    <row r="104" spans="1:32" ht="62.25">
      <c r="A104" s="37" t="s">
        <v>640</v>
      </c>
      <c r="B104" s="38">
        <v>46100</v>
      </c>
      <c r="C104" s="39" t="s">
        <v>142</v>
      </c>
      <c r="D104" s="52" t="s">
        <v>222</v>
      </c>
      <c r="E104" s="52" t="s">
        <v>641</v>
      </c>
      <c r="F104" s="53" t="s">
        <v>642</v>
      </c>
      <c r="G104" s="58">
        <v>550040</v>
      </c>
      <c r="H104" s="39" t="s">
        <v>98</v>
      </c>
      <c r="I104" s="39" t="s">
        <v>202</v>
      </c>
      <c r="J104" s="40" t="s">
        <v>643</v>
      </c>
      <c r="K104" s="40" t="s">
        <v>644</v>
      </c>
      <c r="L104" s="39" t="s">
        <v>26</v>
      </c>
      <c r="M104" s="38">
        <v>46100</v>
      </c>
      <c r="N104" s="41" t="s">
        <v>58</v>
      </c>
      <c r="O104" s="41" t="s">
        <v>51</v>
      </c>
      <c r="P104" s="44">
        <f t="shared" si="29"/>
        <v>0</v>
      </c>
      <c r="Q104" s="38">
        <v>46100</v>
      </c>
      <c r="R104" s="46">
        <f t="shared" ca="1" si="30"/>
        <v>0</v>
      </c>
      <c r="S104" s="39" t="s">
        <v>23</v>
      </c>
      <c r="T104" s="39" t="s">
        <v>48</v>
      </c>
      <c r="U104" s="22" t="str">
        <f ca="1">IF(R104=GENERALIDADES!$I$1,#REF!,"0")</f>
        <v>0</v>
      </c>
      <c r="V104" s="42" t="s">
        <v>39</v>
      </c>
      <c r="W104" s="42" t="s">
        <v>38</v>
      </c>
      <c r="X104" s="22" t="str">
        <f ca="1">IF(U104=GENERALIDADES!$K$3,T104,"0")</f>
        <v>0</v>
      </c>
      <c r="Y104" s="39" t="s">
        <v>59</v>
      </c>
      <c r="Z104" s="39" t="s">
        <v>39</v>
      </c>
      <c r="AA104" s="40"/>
      <c r="AB104" s="39"/>
      <c r="AC104" s="41" t="s">
        <v>67</v>
      </c>
      <c r="AD104" s="22">
        <f t="shared" si="31"/>
        <v>0</v>
      </c>
      <c r="AE104" s="24">
        <f t="shared" si="32"/>
        <v>1</v>
      </c>
      <c r="AF104" s="36" t="b">
        <f t="shared" si="33"/>
        <v>1</v>
      </c>
    </row>
    <row r="105" spans="1:32" ht="75.75">
      <c r="A105" s="37" t="s">
        <v>645</v>
      </c>
      <c r="B105" s="38">
        <v>46100</v>
      </c>
      <c r="C105" s="39" t="s">
        <v>124</v>
      </c>
      <c r="D105" s="52" t="s">
        <v>646</v>
      </c>
      <c r="E105" s="52" t="s">
        <v>647</v>
      </c>
      <c r="F105" s="53">
        <v>18100169090</v>
      </c>
      <c r="G105" s="58">
        <v>574384</v>
      </c>
      <c r="H105" s="39" t="s">
        <v>143</v>
      </c>
      <c r="I105" s="39"/>
      <c r="J105" s="40" t="s">
        <v>648</v>
      </c>
      <c r="K105" s="40" t="s">
        <v>649</v>
      </c>
      <c r="L105" s="39" t="s">
        <v>26</v>
      </c>
      <c r="M105" s="38">
        <v>46101</v>
      </c>
      <c r="N105" s="41" t="s">
        <v>78</v>
      </c>
      <c r="O105" s="41" t="s">
        <v>28</v>
      </c>
      <c r="P105" s="44">
        <f t="shared" si="29"/>
        <v>1</v>
      </c>
      <c r="Q105" s="38">
        <v>46101</v>
      </c>
      <c r="R105" s="46">
        <f t="shared" ca="1" si="30"/>
        <v>1</v>
      </c>
      <c r="S105" s="39" t="s">
        <v>37</v>
      </c>
      <c r="T105" s="39" t="s">
        <v>38</v>
      </c>
      <c r="U105" s="22" t="str">
        <f ca="1">IF(R105=GENERALIDADES!$I$1,#REF!,"0")</f>
        <v>0</v>
      </c>
      <c r="V105" s="42" t="s">
        <v>39</v>
      </c>
      <c r="W105" s="42" t="s">
        <v>38</v>
      </c>
      <c r="X105" s="22" t="str">
        <f ca="1">IF(U105=GENERALIDADES!$K$3,T105,"0")</f>
        <v>0</v>
      </c>
      <c r="Y105" s="39" t="s">
        <v>112</v>
      </c>
      <c r="Z105" s="39" t="s">
        <v>39</v>
      </c>
      <c r="AA105" s="40"/>
      <c r="AB105" s="39"/>
      <c r="AC105" s="41" t="s">
        <v>32</v>
      </c>
      <c r="AD105" s="22">
        <f t="shared" si="31"/>
        <v>1</v>
      </c>
      <c r="AE105" s="24">
        <f t="shared" si="32"/>
        <v>2</v>
      </c>
      <c r="AF105" s="36" t="b">
        <f t="shared" si="33"/>
        <v>1</v>
      </c>
    </row>
    <row r="106" spans="1:32" ht="50.25">
      <c r="A106" s="37" t="s">
        <v>650</v>
      </c>
      <c r="B106" s="38">
        <v>46100</v>
      </c>
      <c r="C106" s="39" t="s">
        <v>165</v>
      </c>
      <c r="D106" s="52" t="s">
        <v>38</v>
      </c>
      <c r="E106" s="52" t="s">
        <v>38</v>
      </c>
      <c r="F106" s="53" t="s">
        <v>38</v>
      </c>
      <c r="G106" s="58" t="s">
        <v>38</v>
      </c>
      <c r="H106" s="39" t="s">
        <v>149</v>
      </c>
      <c r="I106" s="39"/>
      <c r="J106" s="40" t="s">
        <v>651</v>
      </c>
      <c r="K106" s="40" t="s">
        <v>652</v>
      </c>
      <c r="L106" s="39" t="s">
        <v>26</v>
      </c>
      <c r="M106" s="38">
        <v>46100</v>
      </c>
      <c r="N106" s="41" t="s">
        <v>78</v>
      </c>
      <c r="O106" s="41" t="s">
        <v>28</v>
      </c>
      <c r="P106" s="44">
        <f t="shared" si="29"/>
        <v>0</v>
      </c>
      <c r="Q106" s="38">
        <v>46100</v>
      </c>
      <c r="R106" s="46">
        <f t="shared" ca="1" si="30"/>
        <v>0</v>
      </c>
      <c r="S106" s="39" t="s">
        <v>37</v>
      </c>
      <c r="T106" s="39" t="s">
        <v>38</v>
      </c>
      <c r="U106" s="22" t="str">
        <f ca="1">IF(R106=GENERALIDADES!$I$1,#REF!,"0")</f>
        <v>0</v>
      </c>
      <c r="V106" s="42" t="s">
        <v>39</v>
      </c>
      <c r="W106" s="42" t="s">
        <v>38</v>
      </c>
      <c r="X106" s="22" t="str">
        <f ca="1">IF(U106=GENERALIDADES!$K$3,T106,"0")</f>
        <v>0</v>
      </c>
      <c r="Y106" s="39" t="s">
        <v>52</v>
      </c>
      <c r="Z106" s="39" t="s">
        <v>39</v>
      </c>
      <c r="AA106" s="40"/>
      <c r="AB106" s="39"/>
      <c r="AC106" s="41" t="s">
        <v>32</v>
      </c>
      <c r="AD106" s="22">
        <f t="shared" si="31"/>
        <v>0</v>
      </c>
      <c r="AE106" s="24">
        <f t="shared" si="32"/>
        <v>1</v>
      </c>
      <c r="AF106" s="36" t="b">
        <f t="shared" si="33"/>
        <v>1</v>
      </c>
    </row>
    <row r="107" spans="1:32" ht="162.75">
      <c r="A107" s="37" t="s">
        <v>653</v>
      </c>
      <c r="B107" s="38">
        <v>46100</v>
      </c>
      <c r="C107" s="39" t="s">
        <v>70</v>
      </c>
      <c r="D107" s="52" t="s">
        <v>222</v>
      </c>
      <c r="E107" s="52" t="s">
        <v>223</v>
      </c>
      <c r="F107" s="53" t="s">
        <v>255</v>
      </c>
      <c r="G107" s="58">
        <v>545695</v>
      </c>
      <c r="H107" s="39" t="s">
        <v>98</v>
      </c>
      <c r="I107" s="39"/>
      <c r="J107" s="40" t="s">
        <v>654</v>
      </c>
      <c r="K107" s="40" t="s">
        <v>655</v>
      </c>
      <c r="L107" s="39" t="s">
        <v>26</v>
      </c>
      <c r="M107" s="49">
        <v>46101</v>
      </c>
      <c r="N107" s="41" t="s">
        <v>78</v>
      </c>
      <c r="O107" s="41" t="s">
        <v>28</v>
      </c>
      <c r="P107" s="44">
        <f t="shared" si="29"/>
        <v>1</v>
      </c>
      <c r="Q107" s="49">
        <v>46101</v>
      </c>
      <c r="R107" s="46">
        <f t="shared" ca="1" si="30"/>
        <v>1</v>
      </c>
      <c r="S107" s="39" t="s">
        <v>37</v>
      </c>
      <c r="T107" s="39" t="s">
        <v>38</v>
      </c>
      <c r="U107" s="22" t="str">
        <f ca="1">IF(R107=GENERALIDADES!$I$1,#REF!,"0")</f>
        <v>0</v>
      </c>
      <c r="V107" s="42" t="s">
        <v>39</v>
      </c>
      <c r="W107" s="42" t="s">
        <v>38</v>
      </c>
      <c r="X107" s="22" t="str">
        <f ca="1">IF(U107=GENERALIDADES!$K$3,T107,"0")</f>
        <v>0</v>
      </c>
      <c r="Y107" s="39" t="s">
        <v>52</v>
      </c>
      <c r="Z107" s="39" t="s">
        <v>29</v>
      </c>
      <c r="AA107" s="40" t="s">
        <v>656</v>
      </c>
      <c r="AB107" s="39"/>
      <c r="AC107" s="41" t="s">
        <v>32</v>
      </c>
      <c r="AD107" s="22">
        <f t="shared" si="31"/>
        <v>1</v>
      </c>
      <c r="AE107" s="24">
        <f t="shared" si="32"/>
        <v>2</v>
      </c>
      <c r="AF107" s="36" t="b">
        <f t="shared" si="33"/>
        <v>1</v>
      </c>
    </row>
    <row r="108" spans="1:32" ht="75.75">
      <c r="A108" s="37" t="s">
        <v>657</v>
      </c>
      <c r="B108" s="38">
        <v>46101</v>
      </c>
      <c r="C108" s="39" t="s">
        <v>115</v>
      </c>
      <c r="D108" s="52" t="s">
        <v>243</v>
      </c>
      <c r="E108" s="52" t="s">
        <v>244</v>
      </c>
      <c r="F108" s="53" t="s">
        <v>658</v>
      </c>
      <c r="G108" s="58">
        <v>572794</v>
      </c>
      <c r="H108" s="39" t="s">
        <v>135</v>
      </c>
      <c r="I108" s="39"/>
      <c r="J108" s="40" t="s">
        <v>659</v>
      </c>
      <c r="K108" s="40" t="str">
        <f>LOWER(Marzo_2026[[#This Row],[DESCRIPCIÓN DE DAÑO]])</f>
        <v xml:space="preserve">se revisa equipo y se encuentra daño en cable de báscula, se procede a realizar el cambio de la báscula completa y se realizan pruebas funcionales, se entrega al servicio en buenas condiciones. </v>
      </c>
      <c r="L108" s="39" t="s">
        <v>26</v>
      </c>
      <c r="M108" s="38">
        <v>46101</v>
      </c>
      <c r="N108" s="41" t="s">
        <v>78</v>
      </c>
      <c r="O108" s="41" t="s">
        <v>28</v>
      </c>
      <c r="P108" s="44">
        <f t="shared" si="29"/>
        <v>0</v>
      </c>
      <c r="Q108" s="38">
        <v>46101</v>
      </c>
      <c r="R108" s="46">
        <f t="shared" ca="1" si="30"/>
        <v>0</v>
      </c>
      <c r="S108" s="39" t="s">
        <v>37</v>
      </c>
      <c r="T108" s="39" t="s">
        <v>38</v>
      </c>
      <c r="U108" s="22" t="str">
        <f ca="1">IF(R108=GENERALIDADES!$I$1,#REF!,"0")</f>
        <v>0</v>
      </c>
      <c r="V108" s="42" t="s">
        <v>39</v>
      </c>
      <c r="W108" s="42" t="s">
        <v>38</v>
      </c>
      <c r="X108" s="22" t="str">
        <f ca="1">IF(U108=GENERALIDADES!$K$3,T108,"0")</f>
        <v>0</v>
      </c>
      <c r="Y108" s="39" t="s">
        <v>52</v>
      </c>
      <c r="Z108" s="39" t="s">
        <v>39</v>
      </c>
      <c r="AA108" s="40"/>
      <c r="AB108" s="39"/>
      <c r="AC108" s="41" t="s">
        <v>32</v>
      </c>
      <c r="AD108" s="22">
        <f t="shared" si="31"/>
        <v>0</v>
      </c>
      <c r="AE108" s="24">
        <f t="shared" si="32"/>
        <v>1</v>
      </c>
      <c r="AF108" s="36" t="b">
        <f t="shared" si="33"/>
        <v>1</v>
      </c>
    </row>
    <row r="109" spans="1:32" ht="88.5">
      <c r="A109" s="37" t="s">
        <v>660</v>
      </c>
      <c r="B109" s="38">
        <v>46101</v>
      </c>
      <c r="C109" s="39" t="s">
        <v>170</v>
      </c>
      <c r="D109" s="52" t="s">
        <v>661</v>
      </c>
      <c r="E109" s="52" t="s">
        <v>662</v>
      </c>
      <c r="F109" s="53" t="s">
        <v>663</v>
      </c>
      <c r="G109" s="58" t="s">
        <v>664</v>
      </c>
      <c r="H109" s="39" t="s">
        <v>125</v>
      </c>
      <c r="I109" s="39"/>
      <c r="J109" s="40" t="s">
        <v>665</v>
      </c>
      <c r="K109" s="40" t="s">
        <v>666</v>
      </c>
      <c r="L109" s="39" t="s">
        <v>40</v>
      </c>
      <c r="M109" s="49">
        <v>46106</v>
      </c>
      <c r="N109" s="41" t="s">
        <v>78</v>
      </c>
      <c r="O109" s="41" t="s">
        <v>28</v>
      </c>
      <c r="P109" s="44">
        <f t="shared" si="29"/>
        <v>5</v>
      </c>
      <c r="Q109" s="49">
        <v>46106</v>
      </c>
      <c r="R109" s="46">
        <f t="shared" ca="1" si="30"/>
        <v>5</v>
      </c>
      <c r="S109" s="39" t="s">
        <v>37</v>
      </c>
      <c r="T109" s="39" t="s">
        <v>38</v>
      </c>
      <c r="U109" s="22" t="str">
        <f ca="1">IF(R109=GENERALIDADES!$I$1,#REF!,"0")</f>
        <v>0</v>
      </c>
      <c r="V109" s="42" t="s">
        <v>39</v>
      </c>
      <c r="W109" s="42" t="s">
        <v>38</v>
      </c>
      <c r="X109" s="22" t="str">
        <f ca="1">IF(U109=GENERALIDADES!$K$3,T109,"0")</f>
        <v>0</v>
      </c>
      <c r="Y109" s="39" t="s">
        <v>52</v>
      </c>
      <c r="Z109" s="39" t="s">
        <v>39</v>
      </c>
      <c r="AA109" s="40"/>
      <c r="AB109" s="39"/>
      <c r="AC109" s="41" t="s">
        <v>32</v>
      </c>
      <c r="AD109" s="22">
        <f t="shared" si="31"/>
        <v>5</v>
      </c>
      <c r="AE109" s="24">
        <f t="shared" si="32"/>
        <v>4</v>
      </c>
      <c r="AF109" s="36" t="b">
        <f t="shared" si="33"/>
        <v>0</v>
      </c>
    </row>
    <row r="110" spans="1:32" ht="62.25">
      <c r="A110" s="37" t="s">
        <v>667</v>
      </c>
      <c r="B110" s="38">
        <v>46101</v>
      </c>
      <c r="C110" s="39" t="s">
        <v>70</v>
      </c>
      <c r="D110" s="52" t="s">
        <v>38</v>
      </c>
      <c r="E110" s="52" t="s">
        <v>38</v>
      </c>
      <c r="F110" s="53" t="s">
        <v>38</v>
      </c>
      <c r="G110" s="58" t="s">
        <v>38</v>
      </c>
      <c r="H110" s="39" t="s">
        <v>159</v>
      </c>
      <c r="I110" s="39"/>
      <c r="J110" s="40" t="s">
        <v>668</v>
      </c>
      <c r="K110" s="40" t="s">
        <v>669</v>
      </c>
      <c r="L110" s="39" t="s">
        <v>26</v>
      </c>
      <c r="M110" s="49">
        <v>46101</v>
      </c>
      <c r="N110" s="41" t="s">
        <v>78</v>
      </c>
      <c r="O110" s="41" t="s">
        <v>28</v>
      </c>
      <c r="P110" s="44">
        <f t="shared" si="29"/>
        <v>0</v>
      </c>
      <c r="Q110" s="49">
        <v>46101</v>
      </c>
      <c r="R110" s="46">
        <f t="shared" ca="1" si="30"/>
        <v>0</v>
      </c>
      <c r="S110" s="39" t="s">
        <v>37</v>
      </c>
      <c r="T110" s="39" t="s">
        <v>38</v>
      </c>
      <c r="U110" s="22" t="str">
        <f ca="1">IF(R110=GENERALIDADES!$I$1,#REF!,"0")</f>
        <v>0</v>
      </c>
      <c r="V110" s="42" t="s">
        <v>39</v>
      </c>
      <c r="W110" s="42" t="s">
        <v>38</v>
      </c>
      <c r="X110" s="22" t="str">
        <f ca="1">IF(U110=GENERALIDADES!$K$3,T110,"0")</f>
        <v>0</v>
      </c>
      <c r="Y110" s="39" t="s">
        <v>116</v>
      </c>
      <c r="Z110" s="39" t="s">
        <v>39</v>
      </c>
      <c r="AA110" s="40"/>
      <c r="AB110" s="39"/>
      <c r="AC110" s="41" t="s">
        <v>32</v>
      </c>
      <c r="AD110" s="22">
        <f t="shared" si="31"/>
        <v>0</v>
      </c>
      <c r="AE110" s="24">
        <f t="shared" si="32"/>
        <v>1</v>
      </c>
      <c r="AF110" s="36" t="b">
        <f t="shared" si="33"/>
        <v>1</v>
      </c>
    </row>
    <row r="111" spans="1:32" ht="62.25">
      <c r="A111" s="37" t="s">
        <v>670</v>
      </c>
      <c r="B111" s="38">
        <v>46101</v>
      </c>
      <c r="C111" s="39" t="s">
        <v>120</v>
      </c>
      <c r="D111" s="52" t="s">
        <v>646</v>
      </c>
      <c r="E111" s="52" t="s">
        <v>267</v>
      </c>
      <c r="F111" s="53" t="s">
        <v>671</v>
      </c>
      <c r="G111" s="58">
        <v>545553</v>
      </c>
      <c r="H111" s="39" t="s">
        <v>149</v>
      </c>
      <c r="I111" s="39"/>
      <c r="J111" s="40" t="s">
        <v>672</v>
      </c>
      <c r="K111" s="40" t="s">
        <v>673</v>
      </c>
      <c r="L111" s="39" t="s">
        <v>26</v>
      </c>
      <c r="M111" s="49">
        <v>46101</v>
      </c>
      <c r="N111" s="41" t="s">
        <v>78</v>
      </c>
      <c r="O111" s="41" t="s">
        <v>28</v>
      </c>
      <c r="P111" s="44">
        <f t="shared" si="29"/>
        <v>0</v>
      </c>
      <c r="Q111" s="49">
        <v>46101</v>
      </c>
      <c r="R111" s="46">
        <f t="shared" ca="1" si="30"/>
        <v>0</v>
      </c>
      <c r="S111" s="39" t="s">
        <v>37</v>
      </c>
      <c r="T111" s="39" t="s">
        <v>38</v>
      </c>
      <c r="U111" s="22" t="str">
        <f ca="1">IF(R111=GENERALIDADES!$I$1,#REF!,"0")</f>
        <v>0</v>
      </c>
      <c r="V111" s="42" t="s">
        <v>39</v>
      </c>
      <c r="W111" s="42" t="s">
        <v>38</v>
      </c>
      <c r="X111" s="22" t="str">
        <f ca="1">IF(U111=GENERALIDADES!$K$3,T111,"0")</f>
        <v>0</v>
      </c>
      <c r="Y111" s="39" t="s">
        <v>116</v>
      </c>
      <c r="Z111" s="39" t="s">
        <v>39</v>
      </c>
      <c r="AA111" s="40"/>
      <c r="AB111" s="39"/>
      <c r="AC111" s="41" t="s">
        <v>32</v>
      </c>
      <c r="AD111" s="22">
        <f t="shared" si="31"/>
        <v>0</v>
      </c>
      <c r="AE111" s="24">
        <f t="shared" si="32"/>
        <v>1</v>
      </c>
      <c r="AF111" s="36" t="b">
        <f t="shared" si="33"/>
        <v>1</v>
      </c>
    </row>
    <row r="112" spans="1:32" ht="62.25">
      <c r="A112" s="37" t="s">
        <v>674</v>
      </c>
      <c r="B112" s="38">
        <v>46101</v>
      </c>
      <c r="C112" s="39" t="s">
        <v>158</v>
      </c>
      <c r="D112" s="52" t="s">
        <v>342</v>
      </c>
      <c r="E112" s="52" t="s">
        <v>675</v>
      </c>
      <c r="F112" s="53" t="s">
        <v>676</v>
      </c>
      <c r="G112" s="58">
        <v>545443</v>
      </c>
      <c r="H112" s="39" t="s">
        <v>149</v>
      </c>
      <c r="I112" s="39"/>
      <c r="J112" s="40" t="s">
        <v>677</v>
      </c>
      <c r="K112" s="40" t="s">
        <v>678</v>
      </c>
      <c r="L112" s="39" t="s">
        <v>26</v>
      </c>
      <c r="M112" s="49">
        <v>46101</v>
      </c>
      <c r="N112" s="41" t="s">
        <v>78</v>
      </c>
      <c r="O112" s="41" t="s">
        <v>28</v>
      </c>
      <c r="P112" s="44">
        <f t="shared" si="29"/>
        <v>0</v>
      </c>
      <c r="Q112" s="49">
        <v>46101</v>
      </c>
      <c r="R112" s="46">
        <f t="shared" ca="1" si="30"/>
        <v>0</v>
      </c>
      <c r="S112" s="39" t="s">
        <v>37</v>
      </c>
      <c r="T112" s="39" t="s">
        <v>38</v>
      </c>
      <c r="U112" s="22" t="str">
        <f ca="1">IF(R112=GENERALIDADES!$I$1,#REF!,"0")</f>
        <v>0</v>
      </c>
      <c r="V112" s="42" t="s">
        <v>39</v>
      </c>
      <c r="W112" s="42" t="s">
        <v>38</v>
      </c>
      <c r="X112" s="22" t="str">
        <f ca="1">IF(U112=GENERALIDADES!$K$3,T112,"0")</f>
        <v>0</v>
      </c>
      <c r="Y112" s="39" t="s">
        <v>116</v>
      </c>
      <c r="Z112" s="39" t="s">
        <v>39</v>
      </c>
      <c r="AA112" s="40"/>
      <c r="AB112" s="39"/>
      <c r="AC112" s="41" t="s">
        <v>32</v>
      </c>
      <c r="AD112" s="22">
        <f t="shared" si="31"/>
        <v>0</v>
      </c>
      <c r="AE112" s="24">
        <f t="shared" si="32"/>
        <v>1</v>
      </c>
      <c r="AF112" s="36" t="b">
        <f t="shared" si="33"/>
        <v>1</v>
      </c>
    </row>
    <row r="113" spans="1:32" ht="75.75">
      <c r="A113" s="37" t="s">
        <v>679</v>
      </c>
      <c r="B113" s="38">
        <v>46102</v>
      </c>
      <c r="C113" s="39" t="s">
        <v>70</v>
      </c>
      <c r="D113" s="52" t="s">
        <v>281</v>
      </c>
      <c r="E113" s="52" t="s">
        <v>282</v>
      </c>
      <c r="F113" s="53" t="s">
        <v>680</v>
      </c>
      <c r="G113" s="58">
        <v>545473</v>
      </c>
      <c r="H113" s="39" t="s">
        <v>149</v>
      </c>
      <c r="I113" s="39" t="s">
        <v>681</v>
      </c>
      <c r="J113" s="40" t="s">
        <v>682</v>
      </c>
      <c r="K113" s="40" t="s">
        <v>683</v>
      </c>
      <c r="L113" s="39" t="s">
        <v>26</v>
      </c>
      <c r="M113" s="49">
        <v>46105</v>
      </c>
      <c r="N113" s="41" t="s">
        <v>78</v>
      </c>
      <c r="O113" s="41" t="s">
        <v>28</v>
      </c>
      <c r="P113" s="44">
        <f t="shared" si="29"/>
        <v>3</v>
      </c>
      <c r="Q113" s="49">
        <v>46105</v>
      </c>
      <c r="R113" s="46">
        <f t="shared" ca="1" si="30"/>
        <v>3</v>
      </c>
      <c r="S113" s="39" t="s">
        <v>37</v>
      </c>
      <c r="T113" s="39" t="s">
        <v>38</v>
      </c>
      <c r="U113" s="22" t="str">
        <f ca="1">IF(R113=GENERALIDADES!$I$1,#REF!,"0")</f>
        <v>0</v>
      </c>
      <c r="V113" s="42" t="s">
        <v>39</v>
      </c>
      <c r="W113" s="42" t="s">
        <v>38</v>
      </c>
      <c r="X113" s="22" t="str">
        <f ca="1">IF(U113=GENERALIDADES!$K$3,T113,"0")</f>
        <v>0</v>
      </c>
      <c r="Y113" s="39" t="s">
        <v>52</v>
      </c>
      <c r="Z113" s="39" t="s">
        <v>29</v>
      </c>
      <c r="AA113" s="40" t="s">
        <v>684</v>
      </c>
      <c r="AB113" s="39"/>
      <c r="AC113" s="41" t="s">
        <v>32</v>
      </c>
      <c r="AD113" s="22">
        <f t="shared" si="31"/>
        <v>3</v>
      </c>
      <c r="AE113" s="24">
        <f t="shared" si="32"/>
        <v>2</v>
      </c>
      <c r="AF113" s="36" t="b">
        <f t="shared" si="33"/>
        <v>1</v>
      </c>
    </row>
    <row r="114" spans="1:32" ht="50.25">
      <c r="A114" s="37" t="s">
        <v>685</v>
      </c>
      <c r="B114" s="38">
        <v>46102</v>
      </c>
      <c r="C114" s="39" t="s">
        <v>70</v>
      </c>
      <c r="D114" s="52" t="s">
        <v>281</v>
      </c>
      <c r="E114" s="52" t="s">
        <v>282</v>
      </c>
      <c r="F114" s="53" t="s">
        <v>686</v>
      </c>
      <c r="G114" s="58">
        <v>545471</v>
      </c>
      <c r="H114" s="39" t="s">
        <v>149</v>
      </c>
      <c r="I114" s="39"/>
      <c r="J114" s="40" t="s">
        <v>687</v>
      </c>
      <c r="K114" s="40" t="s">
        <v>688</v>
      </c>
      <c r="L114" s="39" t="s">
        <v>26</v>
      </c>
      <c r="M114" s="38">
        <v>46105</v>
      </c>
      <c r="N114" s="41" t="s">
        <v>78</v>
      </c>
      <c r="O114" s="41" t="s">
        <v>28</v>
      </c>
      <c r="P114" s="44">
        <f t="shared" si="29"/>
        <v>3</v>
      </c>
      <c r="Q114" s="38">
        <v>46105</v>
      </c>
      <c r="R114" s="46">
        <f t="shared" ca="1" si="30"/>
        <v>3</v>
      </c>
      <c r="S114" s="39" t="s">
        <v>37</v>
      </c>
      <c r="T114" s="39" t="s">
        <v>38</v>
      </c>
      <c r="U114" s="22" t="str">
        <f ca="1">IF(R114=GENERALIDADES!$I$1,#REF!,"0")</f>
        <v>0</v>
      </c>
      <c r="V114" s="42" t="s">
        <v>39</v>
      </c>
      <c r="W114" s="42" t="s">
        <v>38</v>
      </c>
      <c r="X114" s="22" t="str">
        <f ca="1">IF(U114=GENERALIDADES!$K$3,T114,"0")</f>
        <v>0</v>
      </c>
      <c r="Y114" s="39" t="s">
        <v>52</v>
      </c>
      <c r="Z114" s="39" t="s">
        <v>29</v>
      </c>
      <c r="AA114" s="40" t="s">
        <v>286</v>
      </c>
      <c r="AB114" s="39"/>
      <c r="AC114" s="41" t="s">
        <v>32</v>
      </c>
      <c r="AD114" s="22">
        <f t="shared" si="31"/>
        <v>3</v>
      </c>
      <c r="AE114" s="24">
        <f t="shared" si="32"/>
        <v>2</v>
      </c>
      <c r="AF114" s="36" t="b">
        <f t="shared" si="33"/>
        <v>1</v>
      </c>
    </row>
    <row r="115" spans="1:32" ht="75.75">
      <c r="A115" s="37" t="s">
        <v>689</v>
      </c>
      <c r="B115" s="38">
        <v>46102</v>
      </c>
      <c r="C115" s="39" t="s">
        <v>70</v>
      </c>
      <c r="D115" s="52" t="s">
        <v>281</v>
      </c>
      <c r="E115" s="52" t="s">
        <v>282</v>
      </c>
      <c r="F115" s="53" t="s">
        <v>600</v>
      </c>
      <c r="G115" s="58" t="s">
        <v>601</v>
      </c>
      <c r="H115" s="39" t="s">
        <v>119</v>
      </c>
      <c r="I115" s="39"/>
      <c r="J115" s="40" t="s">
        <v>690</v>
      </c>
      <c r="K115" s="40" t="s">
        <v>691</v>
      </c>
      <c r="L115" s="39" t="s">
        <v>26</v>
      </c>
      <c r="M115" s="49">
        <v>46105</v>
      </c>
      <c r="N115" s="41" t="s">
        <v>78</v>
      </c>
      <c r="O115" s="41" t="s">
        <v>28</v>
      </c>
      <c r="P115" s="44">
        <f t="shared" si="29"/>
        <v>3</v>
      </c>
      <c r="Q115" s="49">
        <v>46105</v>
      </c>
      <c r="R115" s="46">
        <f t="shared" ca="1" si="30"/>
        <v>3</v>
      </c>
      <c r="S115" s="39" t="s">
        <v>37</v>
      </c>
      <c r="T115" s="39" t="s">
        <v>38</v>
      </c>
      <c r="U115" s="22" t="str">
        <f ca="1">IF(R115=GENERALIDADES!$I$1,#REF!,"0")</f>
        <v>0</v>
      </c>
      <c r="V115" s="42" t="s">
        <v>39</v>
      </c>
      <c r="W115" s="42" t="s">
        <v>38</v>
      </c>
      <c r="X115" s="22" t="str">
        <f ca="1">IF(U115=GENERALIDADES!$K$3,T115,"0")</f>
        <v>0</v>
      </c>
      <c r="Y115" s="39" t="s">
        <v>112</v>
      </c>
      <c r="Z115" s="39" t="s">
        <v>39</v>
      </c>
      <c r="AA115" s="40"/>
      <c r="AB115" s="39"/>
      <c r="AC115" s="41" t="s">
        <v>32</v>
      </c>
      <c r="AD115" s="22">
        <f t="shared" si="31"/>
        <v>3</v>
      </c>
      <c r="AE115" s="24">
        <f t="shared" si="32"/>
        <v>2</v>
      </c>
      <c r="AF115" s="36" t="b">
        <f t="shared" si="33"/>
        <v>1</v>
      </c>
    </row>
    <row r="116" spans="1:32" ht="50.25">
      <c r="A116" s="37" t="s">
        <v>692</v>
      </c>
      <c r="B116" s="38">
        <v>46102</v>
      </c>
      <c r="C116" s="39" t="s">
        <v>70</v>
      </c>
      <c r="D116" s="52" t="s">
        <v>281</v>
      </c>
      <c r="E116" s="52" t="s">
        <v>282</v>
      </c>
      <c r="F116" s="53" t="s">
        <v>680</v>
      </c>
      <c r="G116" s="58">
        <v>545473</v>
      </c>
      <c r="H116" s="39" t="s">
        <v>149</v>
      </c>
      <c r="I116" s="39"/>
      <c r="J116" s="40" t="s">
        <v>693</v>
      </c>
      <c r="K116" s="40" t="s">
        <v>694</v>
      </c>
      <c r="L116" s="39" t="s">
        <v>26</v>
      </c>
      <c r="M116" s="49">
        <v>46105</v>
      </c>
      <c r="N116" s="41" t="s">
        <v>78</v>
      </c>
      <c r="O116" s="41" t="s">
        <v>28</v>
      </c>
      <c r="P116" s="44">
        <f t="shared" si="29"/>
        <v>3</v>
      </c>
      <c r="Q116" s="49">
        <v>46105</v>
      </c>
      <c r="R116" s="46">
        <f t="shared" ca="1" si="30"/>
        <v>3</v>
      </c>
      <c r="S116" s="39" t="s">
        <v>37</v>
      </c>
      <c r="T116" s="39" t="s">
        <v>38</v>
      </c>
      <c r="U116" s="22" t="str">
        <f ca="1">IF(R116=GENERALIDADES!$I$1,#REF!,"0")</f>
        <v>0</v>
      </c>
      <c r="V116" s="42" t="s">
        <v>39</v>
      </c>
      <c r="W116" s="42" t="s">
        <v>38</v>
      </c>
      <c r="X116" s="22" t="str">
        <f ca="1">IF(U116=GENERALIDADES!$K$3,T116,"0")</f>
        <v>0</v>
      </c>
      <c r="Y116" s="39" t="s">
        <v>112</v>
      </c>
      <c r="Z116" s="39" t="s">
        <v>39</v>
      </c>
      <c r="AA116" s="40"/>
      <c r="AB116" s="39"/>
      <c r="AC116" s="41" t="s">
        <v>32</v>
      </c>
      <c r="AD116" s="22">
        <f t="shared" si="31"/>
        <v>3</v>
      </c>
      <c r="AE116" s="24">
        <f t="shared" si="32"/>
        <v>2</v>
      </c>
      <c r="AF116" s="36" t="b">
        <f t="shared" si="33"/>
        <v>1</v>
      </c>
    </row>
    <row r="117" spans="1:32" ht="62.25">
      <c r="A117" s="37" t="s">
        <v>695</v>
      </c>
      <c r="B117" s="38">
        <v>46104</v>
      </c>
      <c r="C117" s="39" t="s">
        <v>160</v>
      </c>
      <c r="D117" s="52" t="s">
        <v>696</v>
      </c>
      <c r="E117" s="52" t="s">
        <v>697</v>
      </c>
      <c r="F117" s="53">
        <v>25150</v>
      </c>
      <c r="G117" s="58">
        <v>573190</v>
      </c>
      <c r="H117" s="39" t="s">
        <v>155</v>
      </c>
      <c r="I117" s="39"/>
      <c r="J117" s="40" t="s">
        <v>698</v>
      </c>
      <c r="K117" s="40" t="s">
        <v>699</v>
      </c>
      <c r="L117" s="39" t="s">
        <v>26</v>
      </c>
      <c r="M117" s="38">
        <v>46104</v>
      </c>
      <c r="N117" s="41" t="s">
        <v>78</v>
      </c>
      <c r="O117" s="41" t="s">
        <v>28</v>
      </c>
      <c r="P117" s="44">
        <f t="shared" si="29"/>
        <v>0</v>
      </c>
      <c r="Q117" s="38">
        <v>46104</v>
      </c>
      <c r="R117" s="46">
        <f t="shared" ca="1" si="30"/>
        <v>0</v>
      </c>
      <c r="S117" s="39" t="s">
        <v>37</v>
      </c>
      <c r="T117" s="39" t="s">
        <v>38</v>
      </c>
      <c r="U117" s="22" t="str">
        <f ca="1">IF(R117=GENERALIDADES!$I$1,#REF!,"0")</f>
        <v>0</v>
      </c>
      <c r="V117" s="42" t="s">
        <v>39</v>
      </c>
      <c r="W117" s="42" t="s">
        <v>38</v>
      </c>
      <c r="X117" s="22" t="str">
        <f ca="1">IF(U117=GENERALIDADES!$K$3,T117,"0")</f>
        <v>0</v>
      </c>
      <c r="Y117" s="39" t="s">
        <v>116</v>
      </c>
      <c r="Z117" s="39" t="s">
        <v>39</v>
      </c>
      <c r="AA117" s="40"/>
      <c r="AB117" s="39"/>
      <c r="AC117" s="41" t="s">
        <v>32</v>
      </c>
      <c r="AD117" s="22">
        <f t="shared" si="31"/>
        <v>0</v>
      </c>
      <c r="AE117" s="24">
        <f t="shared" si="32"/>
        <v>1</v>
      </c>
      <c r="AF117" s="36" t="b">
        <f t="shared" si="33"/>
        <v>1</v>
      </c>
    </row>
    <row r="118" spans="1:32" ht="75.75">
      <c r="A118" s="37" t="s">
        <v>700</v>
      </c>
      <c r="B118" s="38">
        <v>46104</v>
      </c>
      <c r="C118" s="39" t="s">
        <v>160</v>
      </c>
      <c r="D118" s="52" t="s">
        <v>38</v>
      </c>
      <c r="E118" s="52" t="s">
        <v>38</v>
      </c>
      <c r="F118" s="53" t="s">
        <v>38</v>
      </c>
      <c r="G118" s="58" t="s">
        <v>38</v>
      </c>
      <c r="H118" s="39" t="s">
        <v>155</v>
      </c>
      <c r="I118" s="39"/>
      <c r="J118" s="40" t="s">
        <v>701</v>
      </c>
      <c r="K118" s="40" t="s">
        <v>702</v>
      </c>
      <c r="L118" s="39" t="s">
        <v>26</v>
      </c>
      <c r="M118" s="38">
        <v>46104</v>
      </c>
      <c r="N118" s="41" t="s">
        <v>78</v>
      </c>
      <c r="O118" s="41" t="s">
        <v>28</v>
      </c>
      <c r="P118" s="44">
        <f t="shared" si="29"/>
        <v>0</v>
      </c>
      <c r="Q118" s="38">
        <v>46104</v>
      </c>
      <c r="R118" s="46">
        <f t="shared" ca="1" si="30"/>
        <v>0</v>
      </c>
      <c r="S118" s="39" t="s">
        <v>37</v>
      </c>
      <c r="T118" s="39" t="s">
        <v>38</v>
      </c>
      <c r="U118" s="22" t="str">
        <f ca="1">IF(R118=GENERALIDADES!$I$1,#REF!,"0")</f>
        <v>0</v>
      </c>
      <c r="V118" s="42" t="s">
        <v>39</v>
      </c>
      <c r="W118" s="42" t="s">
        <v>38</v>
      </c>
      <c r="X118" s="22" t="str">
        <f ca="1">IF(U118=GENERALIDADES!$K$3,T118,"0")</f>
        <v>0</v>
      </c>
      <c r="Y118" s="39" t="s">
        <v>112</v>
      </c>
      <c r="Z118" s="39" t="s">
        <v>39</v>
      </c>
      <c r="AA118" s="40"/>
      <c r="AB118" s="39"/>
      <c r="AC118" s="41" t="s">
        <v>32</v>
      </c>
      <c r="AD118" s="22">
        <f t="shared" si="31"/>
        <v>0</v>
      </c>
      <c r="AE118" s="24">
        <f t="shared" si="32"/>
        <v>1</v>
      </c>
      <c r="AF118" s="36" t="b">
        <f t="shared" si="33"/>
        <v>1</v>
      </c>
    </row>
    <row r="119" spans="1:32" ht="75.75">
      <c r="A119" s="37" t="s">
        <v>703</v>
      </c>
      <c r="B119" s="38">
        <v>46104</v>
      </c>
      <c r="C119" s="39" t="s">
        <v>107</v>
      </c>
      <c r="D119" s="52" t="s">
        <v>38</v>
      </c>
      <c r="E119" s="52" t="s">
        <v>38</v>
      </c>
      <c r="F119" s="53" t="s">
        <v>38</v>
      </c>
      <c r="G119" s="58" t="s">
        <v>38</v>
      </c>
      <c r="H119" s="39" t="s">
        <v>121</v>
      </c>
      <c r="I119" s="39"/>
      <c r="J119" s="40" t="s">
        <v>704</v>
      </c>
      <c r="K119" s="40" t="s">
        <v>705</v>
      </c>
      <c r="L119" s="39" t="s">
        <v>26</v>
      </c>
      <c r="M119" s="38">
        <v>46104</v>
      </c>
      <c r="N119" s="41" t="s">
        <v>78</v>
      </c>
      <c r="O119" s="41" t="s">
        <v>28</v>
      </c>
      <c r="P119" s="44">
        <f t="shared" si="29"/>
        <v>0</v>
      </c>
      <c r="Q119" s="38">
        <v>46104</v>
      </c>
      <c r="R119" s="46">
        <f t="shared" ca="1" si="30"/>
        <v>0</v>
      </c>
      <c r="S119" s="39" t="s">
        <v>37</v>
      </c>
      <c r="T119" s="39" t="s">
        <v>38</v>
      </c>
      <c r="U119" s="22" t="str">
        <f ca="1">IF(R119=GENERALIDADES!$I$1,#REF!,"0")</f>
        <v>0</v>
      </c>
      <c r="V119" s="42" t="s">
        <v>39</v>
      </c>
      <c r="W119" s="42" t="s">
        <v>38</v>
      </c>
      <c r="X119" s="22" t="str">
        <f ca="1">IF(U119=GENERALIDADES!$K$3,T119,"0")</f>
        <v>0</v>
      </c>
      <c r="Y119" s="39" t="s">
        <v>59</v>
      </c>
      <c r="Z119" s="39" t="s">
        <v>39</v>
      </c>
      <c r="AA119" s="40"/>
      <c r="AB119" s="39"/>
      <c r="AC119" s="41" t="s">
        <v>32</v>
      </c>
      <c r="AD119" s="22">
        <f t="shared" si="31"/>
        <v>0</v>
      </c>
      <c r="AE119" s="24">
        <f t="shared" si="32"/>
        <v>1</v>
      </c>
      <c r="AF119" s="36" t="b">
        <f t="shared" si="33"/>
        <v>1</v>
      </c>
    </row>
    <row r="120" spans="1:32" ht="62.25">
      <c r="A120" s="37" t="s">
        <v>706</v>
      </c>
      <c r="B120" s="38">
        <v>46104</v>
      </c>
      <c r="C120" s="39" t="s">
        <v>160</v>
      </c>
      <c r="D120" s="52" t="s">
        <v>38</v>
      </c>
      <c r="E120" s="52" t="s">
        <v>38</v>
      </c>
      <c r="F120" s="53" t="s">
        <v>38</v>
      </c>
      <c r="G120" s="58" t="s">
        <v>38</v>
      </c>
      <c r="H120" s="39" t="s">
        <v>149</v>
      </c>
      <c r="I120" s="39"/>
      <c r="J120" s="40" t="s">
        <v>707</v>
      </c>
      <c r="K120" s="40" t="s">
        <v>708</v>
      </c>
      <c r="L120" s="39" t="s">
        <v>26</v>
      </c>
      <c r="M120" s="38">
        <v>46105</v>
      </c>
      <c r="N120" s="41" t="s">
        <v>78</v>
      </c>
      <c r="O120" s="41" t="s">
        <v>28</v>
      </c>
      <c r="P120" s="44">
        <f t="shared" si="29"/>
        <v>1</v>
      </c>
      <c r="Q120" s="38">
        <v>46105</v>
      </c>
      <c r="R120" s="46">
        <f t="shared" ca="1" si="30"/>
        <v>1</v>
      </c>
      <c r="S120" s="39" t="s">
        <v>37</v>
      </c>
      <c r="T120" s="39" t="s">
        <v>38</v>
      </c>
      <c r="U120" s="22" t="str">
        <f ca="1">IF(R120=GENERALIDADES!$I$1,#REF!,"0")</f>
        <v>0</v>
      </c>
      <c r="V120" s="42" t="s">
        <v>39</v>
      </c>
      <c r="W120" s="42" t="s">
        <v>38</v>
      </c>
      <c r="X120" s="22" t="str">
        <f ca="1">IF(U120=GENERALIDADES!$K$3,T120,"0")</f>
        <v>0</v>
      </c>
      <c r="Y120" s="39" t="s">
        <v>112</v>
      </c>
      <c r="Z120" s="39" t="s">
        <v>39</v>
      </c>
      <c r="AA120" s="40"/>
      <c r="AB120" s="39"/>
      <c r="AC120" s="41" t="s">
        <v>32</v>
      </c>
      <c r="AD120" s="22">
        <f t="shared" si="31"/>
        <v>1</v>
      </c>
      <c r="AE120" s="24">
        <f t="shared" si="32"/>
        <v>2</v>
      </c>
      <c r="AF120" s="36" t="b">
        <f t="shared" si="33"/>
        <v>1</v>
      </c>
    </row>
    <row r="121" spans="1:32" ht="62.25">
      <c r="A121" s="37" t="s">
        <v>709</v>
      </c>
      <c r="B121" s="38">
        <v>46104</v>
      </c>
      <c r="C121" s="39" t="s">
        <v>122</v>
      </c>
      <c r="D121" s="52" t="s">
        <v>312</v>
      </c>
      <c r="E121" s="52" t="s">
        <v>313</v>
      </c>
      <c r="F121" s="53">
        <v>502384</v>
      </c>
      <c r="G121" s="58">
        <v>545487</v>
      </c>
      <c r="H121" s="39" t="s">
        <v>149</v>
      </c>
      <c r="I121" s="39"/>
      <c r="J121" s="40" t="s">
        <v>710</v>
      </c>
      <c r="K121" s="40" t="s">
        <v>357</v>
      </c>
      <c r="L121" s="39" t="s">
        <v>26</v>
      </c>
      <c r="M121" s="38">
        <v>46105</v>
      </c>
      <c r="N121" s="41" t="s">
        <v>78</v>
      </c>
      <c r="O121" s="41" t="s">
        <v>28</v>
      </c>
      <c r="P121" s="44">
        <f t="shared" si="29"/>
        <v>1</v>
      </c>
      <c r="Q121" s="38">
        <v>46105</v>
      </c>
      <c r="R121" s="46">
        <f t="shared" ca="1" si="30"/>
        <v>1</v>
      </c>
      <c r="S121" s="39" t="s">
        <v>37</v>
      </c>
      <c r="T121" s="39" t="s">
        <v>38</v>
      </c>
      <c r="U121" s="22" t="str">
        <f ca="1">IF(R121=GENERALIDADES!$I$1,#REF!,"0")</f>
        <v>0</v>
      </c>
      <c r="V121" s="42" t="s">
        <v>39</v>
      </c>
      <c r="W121" s="42" t="s">
        <v>38</v>
      </c>
      <c r="X121" s="22" t="str">
        <f ca="1">IF(U121=GENERALIDADES!$K$3,T121,"0")</f>
        <v>0</v>
      </c>
      <c r="Y121" s="39" t="s">
        <v>116</v>
      </c>
      <c r="Z121" s="39" t="s">
        <v>39</v>
      </c>
      <c r="AA121" s="40"/>
      <c r="AB121" s="39"/>
      <c r="AC121" s="41" t="s">
        <v>32</v>
      </c>
      <c r="AD121" s="22">
        <f t="shared" si="31"/>
        <v>1</v>
      </c>
      <c r="AE121" s="24">
        <f t="shared" si="32"/>
        <v>2</v>
      </c>
      <c r="AF121" s="36" t="b">
        <f t="shared" si="33"/>
        <v>1</v>
      </c>
    </row>
    <row r="122" spans="1:32" ht="62.25">
      <c r="A122" s="37" t="s">
        <v>711</v>
      </c>
      <c r="B122" s="38">
        <v>46105</v>
      </c>
      <c r="C122" s="39" t="s">
        <v>70</v>
      </c>
      <c r="D122" s="52" t="s">
        <v>342</v>
      </c>
      <c r="E122" s="52" t="s">
        <v>343</v>
      </c>
      <c r="F122" s="53" t="s">
        <v>712</v>
      </c>
      <c r="G122" s="58">
        <v>573316</v>
      </c>
      <c r="H122" s="39" t="s">
        <v>153</v>
      </c>
      <c r="I122" s="39"/>
      <c r="J122" s="40" t="s">
        <v>713</v>
      </c>
      <c r="K122" s="40" t="s">
        <v>714</v>
      </c>
      <c r="L122" s="39" t="s">
        <v>26</v>
      </c>
      <c r="M122" s="38">
        <v>46105</v>
      </c>
      <c r="N122" s="41" t="s">
        <v>78</v>
      </c>
      <c r="O122" s="41" t="s">
        <v>28</v>
      </c>
      <c r="P122" s="44">
        <f t="shared" si="29"/>
        <v>0</v>
      </c>
      <c r="Q122" s="38">
        <v>46105</v>
      </c>
      <c r="R122" s="46">
        <f t="shared" ca="1" si="30"/>
        <v>0</v>
      </c>
      <c r="S122" s="39" t="s">
        <v>37</v>
      </c>
      <c r="T122" s="39" t="s">
        <v>38</v>
      </c>
      <c r="U122" s="22" t="str">
        <f ca="1">IF(R122=GENERALIDADES!$I$1,#REF!,"0")</f>
        <v>0</v>
      </c>
      <c r="V122" s="42" t="s">
        <v>39</v>
      </c>
      <c r="W122" s="42" t="s">
        <v>38</v>
      </c>
      <c r="X122" s="22" t="str">
        <f ca="1">IF(U122=GENERALIDADES!$K$3,T122,"0")</f>
        <v>0</v>
      </c>
      <c r="Y122" s="39" t="s">
        <v>112</v>
      </c>
      <c r="Z122" s="39" t="s">
        <v>39</v>
      </c>
      <c r="AA122" s="40"/>
      <c r="AB122" s="39"/>
      <c r="AC122" s="41" t="s">
        <v>32</v>
      </c>
      <c r="AD122" s="22">
        <f t="shared" si="31"/>
        <v>0</v>
      </c>
      <c r="AE122" s="24">
        <f t="shared" si="32"/>
        <v>1</v>
      </c>
      <c r="AF122" s="36" t="b">
        <f t="shared" si="33"/>
        <v>1</v>
      </c>
    </row>
    <row r="123" spans="1:32" ht="75.75">
      <c r="A123" s="37" t="s">
        <v>715</v>
      </c>
      <c r="B123" s="38">
        <v>46105</v>
      </c>
      <c r="C123" s="39" t="s">
        <v>70</v>
      </c>
      <c r="D123" s="52" t="s">
        <v>342</v>
      </c>
      <c r="E123" s="52" t="s">
        <v>343</v>
      </c>
      <c r="F123" s="53" t="s">
        <v>716</v>
      </c>
      <c r="G123" s="58">
        <v>573319</v>
      </c>
      <c r="H123" s="39" t="s">
        <v>153</v>
      </c>
      <c r="I123" s="39"/>
      <c r="J123" s="40" t="s">
        <v>717</v>
      </c>
      <c r="K123" s="40" t="s">
        <v>718</v>
      </c>
      <c r="L123" s="39" t="s">
        <v>26</v>
      </c>
      <c r="M123" s="49">
        <v>46105</v>
      </c>
      <c r="N123" s="41" t="s">
        <v>78</v>
      </c>
      <c r="O123" s="41" t="s">
        <v>28</v>
      </c>
      <c r="P123" s="44">
        <f t="shared" si="29"/>
        <v>0</v>
      </c>
      <c r="Q123" s="49">
        <v>46105</v>
      </c>
      <c r="R123" s="46">
        <f t="shared" ca="1" si="30"/>
        <v>0</v>
      </c>
      <c r="S123" s="39" t="s">
        <v>37</v>
      </c>
      <c r="T123" s="39" t="s">
        <v>38</v>
      </c>
      <c r="U123" s="22" t="str">
        <f ca="1">IF(R123=GENERALIDADES!$I$1,#REF!,"0")</f>
        <v>0</v>
      </c>
      <c r="V123" s="42" t="s">
        <v>39</v>
      </c>
      <c r="W123" s="42" t="s">
        <v>38</v>
      </c>
      <c r="X123" s="22" t="str">
        <f ca="1">IF(U123=GENERALIDADES!$K$3,T123,"0")</f>
        <v>0</v>
      </c>
      <c r="Y123" s="39" t="s">
        <v>112</v>
      </c>
      <c r="Z123" s="39" t="s">
        <v>39</v>
      </c>
      <c r="AA123" s="40"/>
      <c r="AB123" s="39"/>
      <c r="AC123" s="41" t="s">
        <v>32</v>
      </c>
      <c r="AD123" s="22">
        <f t="shared" si="31"/>
        <v>0</v>
      </c>
      <c r="AE123" s="24">
        <f t="shared" si="32"/>
        <v>1</v>
      </c>
      <c r="AF123" s="36" t="b">
        <f t="shared" si="33"/>
        <v>1</v>
      </c>
    </row>
    <row r="124" spans="1:32" ht="50.25">
      <c r="A124" s="37" t="s">
        <v>719</v>
      </c>
      <c r="B124" s="38">
        <v>46105</v>
      </c>
      <c r="C124" s="39" t="s">
        <v>70</v>
      </c>
      <c r="D124" s="52" t="s">
        <v>38</v>
      </c>
      <c r="E124" s="52" t="s">
        <v>38</v>
      </c>
      <c r="F124" s="53" t="s">
        <v>38</v>
      </c>
      <c r="G124" s="58" t="s">
        <v>38</v>
      </c>
      <c r="H124" s="39" t="s">
        <v>151</v>
      </c>
      <c r="I124" s="39"/>
      <c r="J124" s="40" t="s">
        <v>720</v>
      </c>
      <c r="K124" s="40" t="s">
        <v>721</v>
      </c>
      <c r="L124" s="39" t="s">
        <v>26</v>
      </c>
      <c r="M124" s="49">
        <v>46105</v>
      </c>
      <c r="N124" s="41" t="s">
        <v>78</v>
      </c>
      <c r="O124" s="41" t="s">
        <v>28</v>
      </c>
      <c r="P124" s="44">
        <f t="shared" si="29"/>
        <v>0</v>
      </c>
      <c r="Q124" s="49">
        <v>46105</v>
      </c>
      <c r="R124" s="46">
        <f t="shared" ca="1" si="30"/>
        <v>0</v>
      </c>
      <c r="S124" s="39" t="s">
        <v>37</v>
      </c>
      <c r="T124" s="39" t="s">
        <v>38</v>
      </c>
      <c r="U124" s="22" t="str">
        <f ca="1">IF(R124=GENERALIDADES!$I$1,#REF!,"0")</f>
        <v>0</v>
      </c>
      <c r="V124" s="42" t="s">
        <v>39</v>
      </c>
      <c r="W124" s="42" t="s">
        <v>38</v>
      </c>
      <c r="X124" s="22" t="str">
        <f ca="1">IF(U124=GENERALIDADES!$K$3,T124,"0")</f>
        <v>0</v>
      </c>
      <c r="Y124" s="39" t="s">
        <v>52</v>
      </c>
      <c r="Z124" s="39" t="s">
        <v>29</v>
      </c>
      <c r="AA124" s="40" t="s">
        <v>722</v>
      </c>
      <c r="AB124" s="39"/>
      <c r="AC124" s="41" t="s">
        <v>32</v>
      </c>
      <c r="AD124" s="22">
        <f t="shared" si="31"/>
        <v>0</v>
      </c>
      <c r="AE124" s="24">
        <f t="shared" si="32"/>
        <v>1</v>
      </c>
      <c r="AF124" s="36" t="b">
        <f t="shared" si="33"/>
        <v>1</v>
      </c>
    </row>
    <row r="125" spans="1:32" ht="50.25">
      <c r="A125" s="37" t="s">
        <v>723</v>
      </c>
      <c r="B125" s="38">
        <v>46105</v>
      </c>
      <c r="C125" s="39" t="s">
        <v>70</v>
      </c>
      <c r="D125" s="52" t="s">
        <v>342</v>
      </c>
      <c r="E125" s="52" t="s">
        <v>343</v>
      </c>
      <c r="F125" s="53" t="s">
        <v>716</v>
      </c>
      <c r="G125" s="58">
        <v>573319</v>
      </c>
      <c r="H125" s="39" t="s">
        <v>153</v>
      </c>
      <c r="I125" s="39"/>
      <c r="J125" s="40" t="s">
        <v>724</v>
      </c>
      <c r="K125" s="40" t="s">
        <v>688</v>
      </c>
      <c r="L125" s="39" t="s">
        <v>26</v>
      </c>
      <c r="M125" s="49">
        <v>46105</v>
      </c>
      <c r="N125" s="41" t="s">
        <v>78</v>
      </c>
      <c r="O125" s="41" t="s">
        <v>28</v>
      </c>
      <c r="P125" s="44">
        <f t="shared" si="29"/>
        <v>0</v>
      </c>
      <c r="Q125" s="49">
        <v>46105</v>
      </c>
      <c r="R125" s="46">
        <f t="shared" ca="1" si="30"/>
        <v>0</v>
      </c>
      <c r="S125" s="39" t="s">
        <v>37</v>
      </c>
      <c r="T125" s="39" t="s">
        <v>38</v>
      </c>
      <c r="U125" s="22" t="str">
        <f ca="1">IF(R125=GENERALIDADES!$I$1,#REF!,"0")</f>
        <v>0</v>
      </c>
      <c r="V125" s="42" t="s">
        <v>39</v>
      </c>
      <c r="W125" s="42" t="s">
        <v>38</v>
      </c>
      <c r="X125" s="22" t="str">
        <f ca="1">IF(U125=GENERALIDADES!$K$3,T125,"0")</f>
        <v>0</v>
      </c>
      <c r="Y125" s="39" t="s">
        <v>52</v>
      </c>
      <c r="Z125" s="39" t="s">
        <v>29</v>
      </c>
      <c r="AA125" s="40" t="s">
        <v>725</v>
      </c>
      <c r="AB125" s="39"/>
      <c r="AC125" s="41" t="s">
        <v>32</v>
      </c>
      <c r="AD125" s="22">
        <f t="shared" si="31"/>
        <v>0</v>
      </c>
      <c r="AE125" s="24">
        <f t="shared" si="32"/>
        <v>1</v>
      </c>
      <c r="AF125" s="36" t="b">
        <f t="shared" si="33"/>
        <v>1</v>
      </c>
    </row>
    <row r="126" spans="1:32" ht="62.25">
      <c r="A126" s="37" t="s">
        <v>726</v>
      </c>
      <c r="B126" s="38">
        <v>46105</v>
      </c>
      <c r="C126" s="39" t="s">
        <v>70</v>
      </c>
      <c r="D126" s="52" t="s">
        <v>281</v>
      </c>
      <c r="E126" s="52" t="s">
        <v>282</v>
      </c>
      <c r="F126" s="53" t="s">
        <v>452</v>
      </c>
      <c r="G126" s="58">
        <v>545465</v>
      </c>
      <c r="H126" s="39" t="s">
        <v>149</v>
      </c>
      <c r="I126" s="39"/>
      <c r="J126" s="40" t="s">
        <v>727</v>
      </c>
      <c r="K126" s="40" t="s">
        <v>728</v>
      </c>
      <c r="L126" s="39" t="s">
        <v>40</v>
      </c>
      <c r="M126" s="49">
        <v>46113</v>
      </c>
      <c r="N126" s="41" t="s">
        <v>78</v>
      </c>
      <c r="O126" s="41" t="s">
        <v>28</v>
      </c>
      <c r="P126" s="44">
        <f t="shared" si="29"/>
        <v>8</v>
      </c>
      <c r="Q126" s="49">
        <v>46113</v>
      </c>
      <c r="R126" s="46">
        <f t="shared" ca="1" si="30"/>
        <v>8</v>
      </c>
      <c r="S126" s="39" t="s">
        <v>37</v>
      </c>
      <c r="T126" s="39" t="s">
        <v>38</v>
      </c>
      <c r="U126" s="22" t="str">
        <f ca="1">IF(R126=GENERALIDADES!$I$1,#REF!,"0")</f>
        <v>0</v>
      </c>
      <c r="V126" s="42" t="s">
        <v>39</v>
      </c>
      <c r="W126" s="42" t="s">
        <v>38</v>
      </c>
      <c r="X126" s="22" t="str">
        <f ca="1">IF(U126=GENERALIDADES!$K$3,T126,"0")</f>
        <v>0</v>
      </c>
      <c r="Y126" s="39" t="s">
        <v>52</v>
      </c>
      <c r="Z126" s="39" t="s">
        <v>39</v>
      </c>
      <c r="AA126" s="40"/>
      <c r="AB126" s="39"/>
      <c r="AC126" s="41" t="s">
        <v>32</v>
      </c>
      <c r="AD126" s="22">
        <f t="shared" si="31"/>
        <v>8</v>
      </c>
      <c r="AE126" s="24">
        <f t="shared" si="32"/>
        <v>7</v>
      </c>
      <c r="AF126" s="36" t="b">
        <f t="shared" si="33"/>
        <v>0</v>
      </c>
    </row>
    <row r="127" spans="1:32" ht="88.5">
      <c r="A127" s="37" t="s">
        <v>729</v>
      </c>
      <c r="B127" s="38">
        <v>46105</v>
      </c>
      <c r="C127" s="39" t="s">
        <v>170</v>
      </c>
      <c r="D127" s="52" t="s">
        <v>661</v>
      </c>
      <c r="E127" s="52" t="s">
        <v>662</v>
      </c>
      <c r="F127" s="53" t="s">
        <v>663</v>
      </c>
      <c r="G127" s="58" t="s">
        <v>664</v>
      </c>
      <c r="H127" s="39" t="s">
        <v>35</v>
      </c>
      <c r="I127" s="39"/>
      <c r="J127" s="40" t="s">
        <v>730</v>
      </c>
      <c r="K127" s="40" t="s">
        <v>666</v>
      </c>
      <c r="L127" s="39" t="s">
        <v>40</v>
      </c>
      <c r="M127" s="49">
        <v>46106</v>
      </c>
      <c r="N127" s="41" t="s">
        <v>78</v>
      </c>
      <c r="O127" s="41" t="s">
        <v>28</v>
      </c>
      <c r="P127" s="44">
        <f t="shared" ref="P127:P161" si="38">M127-B127</f>
        <v>1</v>
      </c>
      <c r="Q127" s="49">
        <v>46106</v>
      </c>
      <c r="R127" s="46">
        <f t="shared" ref="R127:R161" ca="1" si="39">IF(Q127-B127&lt;0,NOW()-B127,Q127-B127)</f>
        <v>1</v>
      </c>
      <c r="S127" s="39" t="s">
        <v>37</v>
      </c>
      <c r="T127" s="39" t="s">
        <v>38</v>
      </c>
      <c r="U127" s="22" t="str">
        <f ca="1">IF(R127=GENERALIDADES!$I$1,#REF!,"0")</f>
        <v>0</v>
      </c>
      <c r="V127" s="42" t="s">
        <v>39</v>
      </c>
      <c r="W127" s="42" t="s">
        <v>38</v>
      </c>
      <c r="X127" s="22" t="str">
        <f ca="1">IF(U127=GENERALIDADES!$K$3,T127,"0")</f>
        <v>0</v>
      </c>
      <c r="Y127" s="39" t="s">
        <v>52</v>
      </c>
      <c r="Z127" s="39" t="s">
        <v>39</v>
      </c>
      <c r="AA127" s="40"/>
      <c r="AB127" s="39"/>
      <c r="AC127" s="41" t="s">
        <v>32</v>
      </c>
      <c r="AD127" s="22">
        <f t="shared" ref="AD127:AD161" si="40">M127-B127</f>
        <v>1</v>
      </c>
      <c r="AE127" s="24">
        <f t="shared" ref="AE127:AE161" si="41">NETWORKDAYS(B127,Q127,)</f>
        <v>2</v>
      </c>
      <c r="AF127" s="36" t="b">
        <f t="shared" ref="AF127:AF161" si="42">IF(AND((NETWORKDAYS(B127,M127,)&lt;=3),(NOT(ISBLANK(B127)))),TRUE(), FALSE())</f>
        <v>1</v>
      </c>
    </row>
    <row r="128" spans="1:32" ht="75.75">
      <c r="A128" s="37" t="s">
        <v>731</v>
      </c>
      <c r="B128" s="38">
        <v>46105</v>
      </c>
      <c r="C128" s="39" t="s">
        <v>70</v>
      </c>
      <c r="D128" s="52" t="s">
        <v>222</v>
      </c>
      <c r="E128" s="52" t="s">
        <v>271</v>
      </c>
      <c r="F128" s="53" t="s">
        <v>272</v>
      </c>
      <c r="G128" s="58">
        <v>550042</v>
      </c>
      <c r="H128" s="39" t="s">
        <v>98</v>
      </c>
      <c r="I128" s="39" t="s">
        <v>202</v>
      </c>
      <c r="J128" s="40" t="s">
        <v>732</v>
      </c>
      <c r="K128" s="40" t="s">
        <v>733</v>
      </c>
      <c r="L128" s="39" t="s">
        <v>26</v>
      </c>
      <c r="M128" s="38">
        <v>46105</v>
      </c>
      <c r="N128" s="41" t="s">
        <v>78</v>
      </c>
      <c r="O128" s="41" t="s">
        <v>28</v>
      </c>
      <c r="P128" s="44">
        <f t="shared" si="38"/>
        <v>0</v>
      </c>
      <c r="Q128" s="38">
        <v>46105</v>
      </c>
      <c r="R128" s="46">
        <f t="shared" ca="1" si="39"/>
        <v>0</v>
      </c>
      <c r="S128" s="39" t="s">
        <v>37</v>
      </c>
      <c r="T128" s="39" t="s">
        <v>38</v>
      </c>
      <c r="U128" s="22" t="str">
        <f ca="1">IF(R128=GENERALIDADES!$I$1,#REF!,"0")</f>
        <v>0</v>
      </c>
      <c r="V128" s="42" t="s">
        <v>39</v>
      </c>
      <c r="W128" s="42" t="s">
        <v>38</v>
      </c>
      <c r="X128" s="22" t="str">
        <f ca="1">IF(U128=GENERALIDADES!$K$3,T128,"0")</f>
        <v>0</v>
      </c>
      <c r="Y128" s="39" t="s">
        <v>52</v>
      </c>
      <c r="Z128" s="39" t="s">
        <v>29</v>
      </c>
      <c r="AA128" s="40" t="s">
        <v>734</v>
      </c>
      <c r="AB128" s="39"/>
      <c r="AC128" s="41" t="s">
        <v>32</v>
      </c>
      <c r="AD128" s="22">
        <f t="shared" si="40"/>
        <v>0</v>
      </c>
      <c r="AE128" s="24">
        <f t="shared" si="41"/>
        <v>1</v>
      </c>
      <c r="AF128" s="36" t="b">
        <f t="shared" si="42"/>
        <v>1</v>
      </c>
    </row>
    <row r="129" spans="1:32" ht="37.5">
      <c r="A129" s="37" t="s">
        <v>735</v>
      </c>
      <c r="B129" s="38">
        <v>46105</v>
      </c>
      <c r="C129" s="39" t="s">
        <v>158</v>
      </c>
      <c r="D129" s="52" t="s">
        <v>38</v>
      </c>
      <c r="E129" s="52" t="s">
        <v>38</v>
      </c>
      <c r="F129" s="53" t="s">
        <v>38</v>
      </c>
      <c r="G129" s="58" t="s">
        <v>38</v>
      </c>
      <c r="H129" s="39" t="s">
        <v>141</v>
      </c>
      <c r="I129" s="39"/>
      <c r="J129" s="40" t="s">
        <v>736</v>
      </c>
      <c r="K129" s="40" t="s">
        <v>737</v>
      </c>
      <c r="L129" s="39" t="s">
        <v>26</v>
      </c>
      <c r="M129" s="38">
        <v>46105</v>
      </c>
      <c r="N129" s="41" t="s">
        <v>78</v>
      </c>
      <c r="O129" s="41" t="s">
        <v>28</v>
      </c>
      <c r="P129" s="44">
        <f t="shared" si="38"/>
        <v>0</v>
      </c>
      <c r="Q129" s="38">
        <v>46105</v>
      </c>
      <c r="R129" s="46">
        <f t="shared" ca="1" si="39"/>
        <v>0</v>
      </c>
      <c r="S129" s="39" t="s">
        <v>37</v>
      </c>
      <c r="T129" s="39" t="s">
        <v>38</v>
      </c>
      <c r="U129" s="22" t="str">
        <f ca="1">IF(R129=GENERALIDADES!$I$1,#REF!,"0")</f>
        <v>0</v>
      </c>
      <c r="V129" s="42" t="s">
        <v>39</v>
      </c>
      <c r="W129" s="42" t="s">
        <v>38</v>
      </c>
      <c r="X129" s="22" t="str">
        <f ca="1">IF(U129=GENERALIDADES!$K$3,T129,"0")</f>
        <v>0</v>
      </c>
      <c r="Y129" s="39" t="s">
        <v>112</v>
      </c>
      <c r="Z129" s="39" t="s">
        <v>39</v>
      </c>
      <c r="AA129" s="40"/>
      <c r="AB129" s="39"/>
      <c r="AC129" s="41" t="s">
        <v>32</v>
      </c>
      <c r="AD129" s="22">
        <f t="shared" si="40"/>
        <v>0</v>
      </c>
      <c r="AE129" s="24">
        <f t="shared" si="41"/>
        <v>1</v>
      </c>
      <c r="AF129" s="36" t="b">
        <f t="shared" si="42"/>
        <v>1</v>
      </c>
    </row>
    <row r="130" spans="1:32" ht="62.25">
      <c r="A130" s="37" t="s">
        <v>738</v>
      </c>
      <c r="B130" s="38">
        <v>46105</v>
      </c>
      <c r="C130" s="39" t="s">
        <v>111</v>
      </c>
      <c r="D130" s="52"/>
      <c r="E130" s="52"/>
      <c r="F130" s="53"/>
      <c r="G130" s="58"/>
      <c r="H130" s="39" t="s">
        <v>157</v>
      </c>
      <c r="I130" s="39"/>
      <c r="J130" s="40" t="s">
        <v>739</v>
      </c>
      <c r="K130" s="40" t="s">
        <v>740</v>
      </c>
      <c r="L130" s="39" t="s">
        <v>26</v>
      </c>
      <c r="M130" s="38">
        <v>46105</v>
      </c>
      <c r="N130" s="41" t="s">
        <v>58</v>
      </c>
      <c r="O130" s="41" t="s">
        <v>51</v>
      </c>
      <c r="P130" s="44">
        <f t="shared" si="38"/>
        <v>0</v>
      </c>
      <c r="Q130" s="38">
        <v>46105</v>
      </c>
      <c r="R130" s="46">
        <f t="shared" ca="1" si="39"/>
        <v>0</v>
      </c>
      <c r="S130" s="39" t="s">
        <v>23</v>
      </c>
      <c r="T130" s="39" t="s">
        <v>48</v>
      </c>
      <c r="U130" s="22" t="str">
        <f ca="1">IF(R130=GENERALIDADES!$I$1,#REF!,"0")</f>
        <v>0</v>
      </c>
      <c r="V130" s="42" t="s">
        <v>39</v>
      </c>
      <c r="W130" s="42" t="s">
        <v>38</v>
      </c>
      <c r="X130" s="22" t="str">
        <f ca="1">IF(U130=GENERALIDADES!$K$3,T130,"0")</f>
        <v>0</v>
      </c>
      <c r="Y130" s="39" t="s">
        <v>59</v>
      </c>
      <c r="Z130" s="39" t="s">
        <v>39</v>
      </c>
      <c r="AA130" s="40"/>
      <c r="AB130" s="39"/>
      <c r="AC130" s="41" t="s">
        <v>60</v>
      </c>
      <c r="AD130" s="22">
        <f t="shared" si="40"/>
        <v>0</v>
      </c>
      <c r="AE130" s="24">
        <f t="shared" si="41"/>
        <v>1</v>
      </c>
      <c r="AF130" s="36" t="b">
        <f t="shared" si="42"/>
        <v>1</v>
      </c>
    </row>
    <row r="131" spans="1:32" ht="62.25">
      <c r="A131" s="37" t="s">
        <v>741</v>
      </c>
      <c r="B131" s="38">
        <v>46105</v>
      </c>
      <c r="C131" s="39" t="s">
        <v>158</v>
      </c>
      <c r="D131" s="52" t="s">
        <v>38</v>
      </c>
      <c r="E131" s="52" t="s">
        <v>38</v>
      </c>
      <c r="F131" s="53" t="s">
        <v>38</v>
      </c>
      <c r="G131" s="58" t="s">
        <v>38</v>
      </c>
      <c r="H131" s="39" t="s">
        <v>121</v>
      </c>
      <c r="I131" s="39"/>
      <c r="J131" s="40" t="s">
        <v>742</v>
      </c>
      <c r="K131" s="40" t="s">
        <v>743</v>
      </c>
      <c r="L131" s="39" t="s">
        <v>26</v>
      </c>
      <c r="M131" s="49">
        <v>46106</v>
      </c>
      <c r="N131" s="41" t="s">
        <v>78</v>
      </c>
      <c r="O131" s="41" t="s">
        <v>28</v>
      </c>
      <c r="P131" s="44">
        <f t="shared" si="38"/>
        <v>1</v>
      </c>
      <c r="Q131" s="49">
        <v>46106</v>
      </c>
      <c r="R131" s="46">
        <f t="shared" ca="1" si="39"/>
        <v>1</v>
      </c>
      <c r="S131" s="39" t="s">
        <v>37</v>
      </c>
      <c r="T131" s="39" t="s">
        <v>38</v>
      </c>
      <c r="U131" s="22" t="str">
        <f ca="1">IF(R131=GENERALIDADES!$I$1,#REF!,"0")</f>
        <v>0</v>
      </c>
      <c r="V131" s="42" t="s">
        <v>39</v>
      </c>
      <c r="W131" s="42" t="s">
        <v>38</v>
      </c>
      <c r="X131" s="22" t="str">
        <f ca="1">IF(U131=GENERALIDADES!$K$3,T131,"0")</f>
        <v>0</v>
      </c>
      <c r="Y131" s="39" t="s">
        <v>52</v>
      </c>
      <c r="Z131" s="39" t="s">
        <v>29</v>
      </c>
      <c r="AA131" s="40" t="s">
        <v>744</v>
      </c>
      <c r="AB131" s="39"/>
      <c r="AC131" s="41" t="s">
        <v>32</v>
      </c>
      <c r="AD131" s="22">
        <f t="shared" si="40"/>
        <v>1</v>
      </c>
      <c r="AE131" s="24">
        <f t="shared" si="41"/>
        <v>2</v>
      </c>
      <c r="AF131" s="36" t="b">
        <f t="shared" si="42"/>
        <v>1</v>
      </c>
    </row>
    <row r="132" spans="1:32" ht="62.25">
      <c r="A132" s="37" t="s">
        <v>745</v>
      </c>
      <c r="B132" s="38">
        <v>46105</v>
      </c>
      <c r="C132" s="39" t="s">
        <v>70</v>
      </c>
      <c r="D132" s="52" t="s">
        <v>389</v>
      </c>
      <c r="E132" s="52" t="s">
        <v>746</v>
      </c>
      <c r="F132" s="53" t="s">
        <v>747</v>
      </c>
      <c r="G132" s="58" t="s">
        <v>748</v>
      </c>
      <c r="H132" s="39" t="s">
        <v>121</v>
      </c>
      <c r="I132" s="39"/>
      <c r="J132" s="40" t="s">
        <v>749</v>
      </c>
      <c r="K132" s="40" t="s">
        <v>750</v>
      </c>
      <c r="L132" s="39" t="s">
        <v>26</v>
      </c>
      <c r="M132" s="38">
        <v>46105</v>
      </c>
      <c r="N132" s="41" t="s">
        <v>78</v>
      </c>
      <c r="O132" s="41" t="s">
        <v>28</v>
      </c>
      <c r="P132" s="44">
        <f t="shared" si="38"/>
        <v>0</v>
      </c>
      <c r="Q132" s="38">
        <v>46105</v>
      </c>
      <c r="R132" s="46">
        <f t="shared" ca="1" si="39"/>
        <v>0</v>
      </c>
      <c r="S132" s="39" t="s">
        <v>37</v>
      </c>
      <c r="T132" s="39" t="s">
        <v>38</v>
      </c>
      <c r="U132" s="22" t="str">
        <f ca="1">IF(R132=GENERALIDADES!$I$1,#REF!,"0")</f>
        <v>0</v>
      </c>
      <c r="V132" s="42" t="s">
        <v>39</v>
      </c>
      <c r="W132" s="42" t="s">
        <v>38</v>
      </c>
      <c r="X132" s="22" t="str">
        <f ca="1">IF(U132=GENERALIDADES!$K$3,T132,"0")</f>
        <v>0</v>
      </c>
      <c r="Y132" s="39" t="s">
        <v>43</v>
      </c>
      <c r="Z132" s="39" t="s">
        <v>39</v>
      </c>
      <c r="AA132" s="40"/>
      <c r="AB132" s="39"/>
      <c r="AC132" s="41" t="s">
        <v>32</v>
      </c>
      <c r="AD132" s="22">
        <f t="shared" si="40"/>
        <v>0</v>
      </c>
      <c r="AE132" s="24">
        <f t="shared" si="41"/>
        <v>1</v>
      </c>
      <c r="AF132" s="36" t="b">
        <f t="shared" si="42"/>
        <v>1</v>
      </c>
    </row>
    <row r="133" spans="1:32" ht="88.5">
      <c r="A133" s="37" t="s">
        <v>751</v>
      </c>
      <c r="B133" s="38">
        <v>46106</v>
      </c>
      <c r="C133" s="39" t="s">
        <v>70</v>
      </c>
      <c r="D133" s="52" t="s">
        <v>222</v>
      </c>
      <c r="E133" s="52" t="s">
        <v>223</v>
      </c>
      <c r="F133" s="53" t="s">
        <v>752</v>
      </c>
      <c r="G133" s="58">
        <v>545688</v>
      </c>
      <c r="H133" s="39" t="s">
        <v>157</v>
      </c>
      <c r="I133" s="39"/>
      <c r="J133" s="40" t="s">
        <v>753</v>
      </c>
      <c r="K133" s="40" t="s">
        <v>754</v>
      </c>
      <c r="L133" s="39" t="s">
        <v>26</v>
      </c>
      <c r="M133" s="38">
        <v>46106</v>
      </c>
      <c r="N133" s="41" t="s">
        <v>78</v>
      </c>
      <c r="O133" s="41" t="s">
        <v>28</v>
      </c>
      <c r="P133" s="44">
        <f t="shared" si="38"/>
        <v>0</v>
      </c>
      <c r="Q133" s="38">
        <v>46106</v>
      </c>
      <c r="R133" s="46">
        <f t="shared" ca="1" si="39"/>
        <v>0</v>
      </c>
      <c r="S133" s="39" t="s">
        <v>37</v>
      </c>
      <c r="T133" s="39" t="s">
        <v>38</v>
      </c>
      <c r="U133" s="22" t="str">
        <f ca="1">IF(R133=GENERALIDADES!$I$1,#REF!,"0")</f>
        <v>0</v>
      </c>
      <c r="V133" s="42" t="s">
        <v>39</v>
      </c>
      <c r="W133" s="42" t="s">
        <v>38</v>
      </c>
      <c r="X133" s="22" t="str">
        <f ca="1">IF(U133=GENERALIDADES!$K$3,T133,"0")</f>
        <v>0</v>
      </c>
      <c r="Y133" s="39" t="s">
        <v>52</v>
      </c>
      <c r="Z133" s="39" t="s">
        <v>39</v>
      </c>
      <c r="AA133" s="40"/>
      <c r="AB133" s="39"/>
      <c r="AC133" s="41" t="s">
        <v>32</v>
      </c>
      <c r="AD133" s="22">
        <f t="shared" si="40"/>
        <v>0</v>
      </c>
      <c r="AE133" s="24">
        <f t="shared" si="41"/>
        <v>1</v>
      </c>
      <c r="AF133" s="36" t="b">
        <f t="shared" si="42"/>
        <v>1</v>
      </c>
    </row>
    <row r="134" spans="1:32" ht="62.25">
      <c r="A134" s="37" t="s">
        <v>755</v>
      </c>
      <c r="B134" s="38">
        <v>46106</v>
      </c>
      <c r="C134" s="39" t="s">
        <v>122</v>
      </c>
      <c r="D134" s="52" t="s">
        <v>38</v>
      </c>
      <c r="E134" s="52" t="s">
        <v>38</v>
      </c>
      <c r="F134" s="53" t="s">
        <v>38</v>
      </c>
      <c r="G134" s="58" t="s">
        <v>38</v>
      </c>
      <c r="H134" s="39" t="s">
        <v>114</v>
      </c>
      <c r="I134" s="39"/>
      <c r="J134" s="40" t="s">
        <v>756</v>
      </c>
      <c r="K134" s="40" t="s">
        <v>757</v>
      </c>
      <c r="L134" s="39" t="s">
        <v>26</v>
      </c>
      <c r="M134" s="38">
        <v>46106</v>
      </c>
      <c r="N134" s="41" t="s">
        <v>78</v>
      </c>
      <c r="O134" s="41" t="s">
        <v>28</v>
      </c>
      <c r="P134" s="44">
        <f t="shared" si="38"/>
        <v>0</v>
      </c>
      <c r="Q134" s="38">
        <v>46106</v>
      </c>
      <c r="R134" s="46">
        <f t="shared" ca="1" si="39"/>
        <v>0</v>
      </c>
      <c r="S134" s="39" t="s">
        <v>37</v>
      </c>
      <c r="T134" s="39" t="s">
        <v>38</v>
      </c>
      <c r="U134" s="22" t="str">
        <f ca="1">IF(R134=GENERALIDADES!$I$1,#REF!,"0")</f>
        <v>0</v>
      </c>
      <c r="V134" s="42" t="s">
        <v>39</v>
      </c>
      <c r="W134" s="42" t="s">
        <v>38</v>
      </c>
      <c r="X134" s="22" t="str">
        <f ca="1">IF(U134=GENERALIDADES!$K$3,T134,"0")</f>
        <v>0</v>
      </c>
      <c r="Y134" s="39" t="s">
        <v>31</v>
      </c>
      <c r="Z134" s="39" t="s">
        <v>39</v>
      </c>
      <c r="AA134" s="40"/>
      <c r="AB134" s="39"/>
      <c r="AC134" s="41" t="s">
        <v>32</v>
      </c>
      <c r="AD134" s="22">
        <f t="shared" si="40"/>
        <v>0</v>
      </c>
      <c r="AE134" s="24">
        <f t="shared" si="41"/>
        <v>1</v>
      </c>
      <c r="AF134" s="36" t="b">
        <f t="shared" si="42"/>
        <v>1</v>
      </c>
    </row>
    <row r="135" spans="1:32" ht="62.25">
      <c r="A135" s="37" t="s">
        <v>758</v>
      </c>
      <c r="B135" s="38">
        <v>46106</v>
      </c>
      <c r="C135" s="39" t="s">
        <v>70</v>
      </c>
      <c r="D135" s="52" t="s">
        <v>222</v>
      </c>
      <c r="E135" s="52" t="s">
        <v>223</v>
      </c>
      <c r="F135" s="53" t="s">
        <v>373</v>
      </c>
      <c r="G135" s="58" t="s">
        <v>374</v>
      </c>
      <c r="H135" s="39" t="s">
        <v>114</v>
      </c>
      <c r="I135" s="39"/>
      <c r="J135" s="40" t="s">
        <v>759</v>
      </c>
      <c r="K135" s="40" t="s">
        <v>760</v>
      </c>
      <c r="L135" s="39" t="s">
        <v>40</v>
      </c>
      <c r="M135" s="38">
        <v>46107</v>
      </c>
      <c r="N135" s="41" t="s">
        <v>78</v>
      </c>
      <c r="O135" s="41" t="s">
        <v>28</v>
      </c>
      <c r="P135" s="44">
        <f t="shared" si="38"/>
        <v>1</v>
      </c>
      <c r="Q135" s="38">
        <v>46107</v>
      </c>
      <c r="R135" s="46">
        <f t="shared" ca="1" si="39"/>
        <v>1</v>
      </c>
      <c r="S135" s="39" t="s">
        <v>37</v>
      </c>
      <c r="T135" s="39" t="s">
        <v>38</v>
      </c>
      <c r="U135" s="22" t="str">
        <f ca="1">IF(R135=GENERALIDADES!$I$1,#REF!,"0")</f>
        <v>0</v>
      </c>
      <c r="V135" s="42" t="s">
        <v>39</v>
      </c>
      <c r="W135" s="42" t="s">
        <v>38</v>
      </c>
      <c r="X135" s="22" t="str">
        <f ca="1">IF(U135=GENERALIDADES!$K$3,T135,"0")</f>
        <v>0</v>
      </c>
      <c r="Y135" s="39" t="s">
        <v>116</v>
      </c>
      <c r="Z135" s="39" t="s">
        <v>39</v>
      </c>
      <c r="AA135" s="40"/>
      <c r="AB135" s="39"/>
      <c r="AC135" s="41" t="s">
        <v>32</v>
      </c>
      <c r="AD135" s="22">
        <f t="shared" si="40"/>
        <v>1</v>
      </c>
      <c r="AE135" s="24">
        <f t="shared" si="41"/>
        <v>2</v>
      </c>
      <c r="AF135" s="36" t="b">
        <f t="shared" si="42"/>
        <v>1</v>
      </c>
    </row>
    <row r="136" spans="1:32" ht="88.5">
      <c r="A136" s="37" t="s">
        <v>761</v>
      </c>
      <c r="B136" s="38">
        <v>46106</v>
      </c>
      <c r="C136" s="39" t="s">
        <v>70</v>
      </c>
      <c r="D136" s="52" t="s">
        <v>222</v>
      </c>
      <c r="E136" s="52" t="s">
        <v>223</v>
      </c>
      <c r="F136" s="53" t="s">
        <v>379</v>
      </c>
      <c r="G136" s="58" t="s">
        <v>380</v>
      </c>
      <c r="H136" s="39" t="s">
        <v>114</v>
      </c>
      <c r="I136" s="39"/>
      <c r="J136" s="40" t="s">
        <v>762</v>
      </c>
      <c r="K136" s="40" t="s">
        <v>763</v>
      </c>
      <c r="L136" s="39" t="s">
        <v>26</v>
      </c>
      <c r="M136" s="49">
        <v>46107</v>
      </c>
      <c r="N136" s="41" t="s">
        <v>78</v>
      </c>
      <c r="O136" s="41" t="s">
        <v>28</v>
      </c>
      <c r="P136" s="44">
        <f t="shared" si="38"/>
        <v>1</v>
      </c>
      <c r="Q136" s="49">
        <v>46107</v>
      </c>
      <c r="R136" s="46">
        <f t="shared" ca="1" si="39"/>
        <v>1</v>
      </c>
      <c r="S136" s="39" t="s">
        <v>37</v>
      </c>
      <c r="T136" s="39" t="s">
        <v>38</v>
      </c>
      <c r="U136" s="22" t="str">
        <f ca="1">IF(R136=GENERALIDADES!$I$1,#REF!,"0")</f>
        <v>0</v>
      </c>
      <c r="V136" s="42" t="s">
        <v>39</v>
      </c>
      <c r="W136" s="42" t="s">
        <v>38</v>
      </c>
      <c r="X136" s="22" t="str">
        <f ca="1">IF(U136=GENERALIDADES!$K$3,T136,"0")</f>
        <v>0</v>
      </c>
      <c r="Y136" s="39" t="s">
        <v>52</v>
      </c>
      <c r="Z136" s="39" t="s">
        <v>29</v>
      </c>
      <c r="AA136" s="40" t="s">
        <v>764</v>
      </c>
      <c r="AB136" s="39"/>
      <c r="AC136" s="41" t="s">
        <v>32</v>
      </c>
      <c r="AD136" s="22">
        <f t="shared" si="40"/>
        <v>1</v>
      </c>
      <c r="AE136" s="24">
        <f t="shared" si="41"/>
        <v>2</v>
      </c>
      <c r="AF136" s="36" t="b">
        <f t="shared" si="42"/>
        <v>1</v>
      </c>
    </row>
    <row r="137" spans="1:32" ht="50.25">
      <c r="A137" s="37" t="s">
        <v>765</v>
      </c>
      <c r="B137" s="38">
        <v>46106</v>
      </c>
      <c r="C137" s="39" t="s">
        <v>146</v>
      </c>
      <c r="D137" s="52" t="s">
        <v>38</v>
      </c>
      <c r="E137" s="52" t="s">
        <v>38</v>
      </c>
      <c r="F137" s="53" t="s">
        <v>38</v>
      </c>
      <c r="G137" s="58" t="s">
        <v>38</v>
      </c>
      <c r="H137" s="39" t="s">
        <v>149</v>
      </c>
      <c r="I137" s="39"/>
      <c r="J137" s="40" t="s">
        <v>766</v>
      </c>
      <c r="K137" s="40" t="s">
        <v>767</v>
      </c>
      <c r="L137" s="39" t="s">
        <v>26</v>
      </c>
      <c r="M137" s="38">
        <v>46106</v>
      </c>
      <c r="N137" s="41" t="s">
        <v>78</v>
      </c>
      <c r="O137" s="41" t="s">
        <v>28</v>
      </c>
      <c r="P137" s="44">
        <f t="shared" si="38"/>
        <v>0</v>
      </c>
      <c r="Q137" s="38">
        <v>46106</v>
      </c>
      <c r="R137" s="46">
        <f t="shared" ca="1" si="39"/>
        <v>0</v>
      </c>
      <c r="S137" s="39" t="s">
        <v>37</v>
      </c>
      <c r="T137" s="39" t="s">
        <v>38</v>
      </c>
      <c r="U137" s="22" t="str">
        <f ca="1">IF(R137=GENERALIDADES!$I$1,#REF!,"0")</f>
        <v>0</v>
      </c>
      <c r="V137" s="42" t="s">
        <v>39</v>
      </c>
      <c r="W137" s="42" t="s">
        <v>38</v>
      </c>
      <c r="X137" s="22" t="str">
        <f ca="1">IF(U137=GENERALIDADES!$K$3,T137,"0")</f>
        <v>0</v>
      </c>
      <c r="Y137" s="39" t="s">
        <v>112</v>
      </c>
      <c r="Z137" s="39" t="s">
        <v>39</v>
      </c>
      <c r="AA137" s="40"/>
      <c r="AB137" s="39"/>
      <c r="AC137" s="41" t="s">
        <v>32</v>
      </c>
      <c r="AD137" s="22">
        <f t="shared" si="40"/>
        <v>0</v>
      </c>
      <c r="AE137" s="24">
        <f t="shared" si="41"/>
        <v>1</v>
      </c>
      <c r="AF137" s="36" t="b">
        <f t="shared" si="42"/>
        <v>1</v>
      </c>
    </row>
    <row r="138" spans="1:32" ht="62.25">
      <c r="A138" s="37" t="s">
        <v>768</v>
      </c>
      <c r="B138" s="38">
        <v>46106</v>
      </c>
      <c r="C138" s="39" t="s">
        <v>70</v>
      </c>
      <c r="D138" s="52" t="s">
        <v>222</v>
      </c>
      <c r="E138" s="52" t="s">
        <v>223</v>
      </c>
      <c r="F138" s="53" t="s">
        <v>752</v>
      </c>
      <c r="G138" s="58">
        <v>545688</v>
      </c>
      <c r="H138" s="39" t="s">
        <v>157</v>
      </c>
      <c r="I138" s="39"/>
      <c r="J138" s="40" t="s">
        <v>769</v>
      </c>
      <c r="K138" s="40" t="s">
        <v>770</v>
      </c>
      <c r="L138" s="39" t="s">
        <v>64</v>
      </c>
      <c r="M138" s="49">
        <v>46106</v>
      </c>
      <c r="N138" s="41" t="s">
        <v>78</v>
      </c>
      <c r="O138" s="41" t="s">
        <v>28</v>
      </c>
      <c r="P138" s="44">
        <f t="shared" si="38"/>
        <v>0</v>
      </c>
      <c r="Q138" s="49">
        <v>46106</v>
      </c>
      <c r="R138" s="46">
        <f t="shared" ca="1" si="39"/>
        <v>0</v>
      </c>
      <c r="S138" s="39" t="s">
        <v>37</v>
      </c>
      <c r="T138" s="39" t="s">
        <v>38</v>
      </c>
      <c r="U138" s="22" t="str">
        <f ca="1">IF(R138=GENERALIDADES!$I$1,#REF!,"0")</f>
        <v>0</v>
      </c>
      <c r="V138" s="42" t="s">
        <v>39</v>
      </c>
      <c r="W138" s="42" t="s">
        <v>38</v>
      </c>
      <c r="X138" s="22" t="str">
        <f ca="1">IF(U138=GENERALIDADES!$K$3,T138,"0")</f>
        <v>0</v>
      </c>
      <c r="Y138" s="39" t="s">
        <v>52</v>
      </c>
      <c r="Z138" s="39" t="s">
        <v>29</v>
      </c>
      <c r="AA138" s="40" t="s">
        <v>771</v>
      </c>
      <c r="AB138" s="39"/>
      <c r="AC138" s="41" t="s">
        <v>32</v>
      </c>
      <c r="AD138" s="22">
        <f t="shared" si="40"/>
        <v>0</v>
      </c>
      <c r="AE138" s="24">
        <f t="shared" si="41"/>
        <v>1</v>
      </c>
      <c r="AF138" s="36" t="b">
        <f t="shared" si="42"/>
        <v>1</v>
      </c>
    </row>
    <row r="139" spans="1:32" ht="75.75">
      <c r="A139" s="37" t="s">
        <v>772</v>
      </c>
      <c r="B139" s="38">
        <v>46107</v>
      </c>
      <c r="C139" s="39" t="s">
        <v>158</v>
      </c>
      <c r="D139" s="52" t="s">
        <v>773</v>
      </c>
      <c r="E139" s="52" t="s">
        <v>774</v>
      </c>
      <c r="F139" s="53" t="s">
        <v>775</v>
      </c>
      <c r="G139" s="58" t="s">
        <v>776</v>
      </c>
      <c r="H139" s="39" t="s">
        <v>114</v>
      </c>
      <c r="I139" s="39"/>
      <c r="J139" s="40" t="s">
        <v>777</v>
      </c>
      <c r="K139" s="40" t="s">
        <v>778</v>
      </c>
      <c r="L139" s="39" t="s">
        <v>26</v>
      </c>
      <c r="M139" s="49">
        <v>46107</v>
      </c>
      <c r="N139" s="41" t="s">
        <v>78</v>
      </c>
      <c r="O139" s="41" t="s">
        <v>28</v>
      </c>
      <c r="P139" s="44">
        <f t="shared" si="38"/>
        <v>0</v>
      </c>
      <c r="Q139" s="49">
        <v>46107</v>
      </c>
      <c r="R139" s="46">
        <f t="shared" ca="1" si="39"/>
        <v>0</v>
      </c>
      <c r="S139" s="39" t="s">
        <v>37</v>
      </c>
      <c r="T139" s="39" t="s">
        <v>38</v>
      </c>
      <c r="U139" s="22" t="str">
        <f ca="1">IF(R139=GENERALIDADES!$I$1,#REF!,"0")</f>
        <v>0</v>
      </c>
      <c r="V139" s="42" t="s">
        <v>39</v>
      </c>
      <c r="W139" s="42" t="s">
        <v>38</v>
      </c>
      <c r="X139" s="22" t="str">
        <f ca="1">IF(U139=GENERALIDADES!$K$3,T139,"0")</f>
        <v>0</v>
      </c>
      <c r="Y139" s="39" t="s">
        <v>116</v>
      </c>
      <c r="Z139" s="39" t="s">
        <v>39</v>
      </c>
      <c r="AA139" s="40"/>
      <c r="AB139" s="39"/>
      <c r="AC139" s="41" t="s">
        <v>32</v>
      </c>
      <c r="AD139" s="22">
        <f t="shared" si="40"/>
        <v>0</v>
      </c>
      <c r="AE139" s="24">
        <f t="shared" si="41"/>
        <v>1</v>
      </c>
      <c r="AF139" s="36" t="b">
        <f t="shared" si="42"/>
        <v>1</v>
      </c>
    </row>
    <row r="140" spans="1:32" ht="75.75">
      <c r="A140" s="37" t="s">
        <v>779</v>
      </c>
      <c r="B140" s="38">
        <v>46107</v>
      </c>
      <c r="C140" s="39" t="s">
        <v>103</v>
      </c>
      <c r="D140" s="52" t="s">
        <v>780</v>
      </c>
      <c r="E140" s="52" t="s">
        <v>781</v>
      </c>
      <c r="F140" s="53" t="s">
        <v>782</v>
      </c>
      <c r="G140" s="58">
        <v>573025</v>
      </c>
      <c r="H140" s="39" t="s">
        <v>76</v>
      </c>
      <c r="I140" s="39"/>
      <c r="J140" s="40" t="s">
        <v>783</v>
      </c>
      <c r="K140" s="40" t="s">
        <v>784</v>
      </c>
      <c r="L140" s="39" t="s">
        <v>64</v>
      </c>
      <c r="M140" s="38">
        <v>46111</v>
      </c>
      <c r="N140" s="41" t="s">
        <v>78</v>
      </c>
      <c r="O140" s="41" t="s">
        <v>51</v>
      </c>
      <c r="P140" s="44">
        <f t="shared" si="38"/>
        <v>4</v>
      </c>
      <c r="Q140" s="38">
        <v>46111</v>
      </c>
      <c r="R140" s="46">
        <f t="shared" ca="1" si="39"/>
        <v>4</v>
      </c>
      <c r="S140" s="39" t="s">
        <v>23</v>
      </c>
      <c r="T140" s="39" t="s">
        <v>24</v>
      </c>
      <c r="U140" s="22" t="str">
        <f ca="1">IF(R140=GENERALIDADES!$I$1,#REF!,"0")</f>
        <v>0</v>
      </c>
      <c r="V140" s="42" t="s">
        <v>39</v>
      </c>
      <c r="W140" s="42" t="s">
        <v>38</v>
      </c>
      <c r="X140" s="22" t="str">
        <f ca="1">IF(U140=GENERALIDADES!$K$3,T140,"0")</f>
        <v>0</v>
      </c>
      <c r="Y140" s="39" t="s">
        <v>17</v>
      </c>
      <c r="Z140" s="39" t="s">
        <v>39</v>
      </c>
      <c r="AA140" s="40" t="s">
        <v>785</v>
      </c>
      <c r="AB140" s="39"/>
      <c r="AC140" s="41" t="s">
        <v>32</v>
      </c>
      <c r="AD140" s="22">
        <f t="shared" si="40"/>
        <v>4</v>
      </c>
      <c r="AE140" s="24">
        <f t="shared" si="41"/>
        <v>3</v>
      </c>
      <c r="AF140" s="36" t="b">
        <f t="shared" si="42"/>
        <v>1</v>
      </c>
    </row>
    <row r="141" spans="1:32" ht="62.25">
      <c r="A141" s="37" t="s">
        <v>786</v>
      </c>
      <c r="B141" s="38">
        <v>46108</v>
      </c>
      <c r="C141" s="39" t="s">
        <v>70</v>
      </c>
      <c r="D141" s="52" t="s">
        <v>38</v>
      </c>
      <c r="E141" s="52" t="s">
        <v>38</v>
      </c>
      <c r="F141" s="53" t="s">
        <v>38</v>
      </c>
      <c r="G141" s="58" t="s">
        <v>38</v>
      </c>
      <c r="H141" s="39" t="s">
        <v>159</v>
      </c>
      <c r="I141" s="39"/>
      <c r="J141" s="40" t="s">
        <v>787</v>
      </c>
      <c r="K141" s="40" t="s">
        <v>788</v>
      </c>
      <c r="L141" s="39" t="s">
        <v>64</v>
      </c>
      <c r="M141" s="49">
        <v>46111</v>
      </c>
      <c r="N141" s="41" t="s">
        <v>78</v>
      </c>
      <c r="O141" s="41" t="s">
        <v>28</v>
      </c>
      <c r="P141" s="44">
        <f t="shared" si="38"/>
        <v>3</v>
      </c>
      <c r="Q141" s="49">
        <v>46111</v>
      </c>
      <c r="R141" s="46">
        <f t="shared" ca="1" si="39"/>
        <v>3</v>
      </c>
      <c r="S141" s="39" t="s">
        <v>37</v>
      </c>
      <c r="T141" s="39" t="s">
        <v>38</v>
      </c>
      <c r="U141" s="22" t="str">
        <f ca="1">IF(R141=GENERALIDADES!$I$1,#REF!,"0")</f>
        <v>0</v>
      </c>
      <c r="V141" s="42" t="s">
        <v>39</v>
      </c>
      <c r="W141" s="42" t="s">
        <v>38</v>
      </c>
      <c r="X141" s="22" t="str">
        <f ca="1">IF(U141=GENERALIDADES!$K$3,T141,"0")</f>
        <v>0</v>
      </c>
      <c r="Y141" s="39" t="s">
        <v>112</v>
      </c>
      <c r="Z141" s="39" t="s">
        <v>39</v>
      </c>
      <c r="AA141" s="40"/>
      <c r="AB141" s="39"/>
      <c r="AC141" s="41" t="s">
        <v>32</v>
      </c>
      <c r="AD141" s="22">
        <f t="shared" si="40"/>
        <v>3</v>
      </c>
      <c r="AE141" s="24">
        <f t="shared" si="41"/>
        <v>2</v>
      </c>
      <c r="AF141" s="36" t="b">
        <f t="shared" si="42"/>
        <v>1</v>
      </c>
    </row>
    <row r="142" spans="1:32" ht="62.25">
      <c r="A142" s="37" t="s">
        <v>789</v>
      </c>
      <c r="B142" s="38">
        <v>46108</v>
      </c>
      <c r="C142" s="39" t="s">
        <v>160</v>
      </c>
      <c r="D142" s="52" t="s">
        <v>790</v>
      </c>
      <c r="E142" s="52" t="s">
        <v>791</v>
      </c>
      <c r="F142" s="53" t="s">
        <v>792</v>
      </c>
      <c r="G142" s="58" t="s">
        <v>793</v>
      </c>
      <c r="H142" s="39" t="s">
        <v>119</v>
      </c>
      <c r="I142" s="39"/>
      <c r="J142" s="40" t="s">
        <v>794</v>
      </c>
      <c r="K142" s="40" t="s">
        <v>795</v>
      </c>
      <c r="L142" s="39" t="s">
        <v>40</v>
      </c>
      <c r="M142" s="38">
        <v>46108</v>
      </c>
      <c r="N142" s="41" t="s">
        <v>78</v>
      </c>
      <c r="O142" s="41" t="s">
        <v>28</v>
      </c>
      <c r="P142" s="44">
        <f t="shared" si="38"/>
        <v>0</v>
      </c>
      <c r="Q142" s="38">
        <v>46108</v>
      </c>
      <c r="R142" s="46">
        <f t="shared" ca="1" si="39"/>
        <v>0</v>
      </c>
      <c r="S142" s="39" t="s">
        <v>37</v>
      </c>
      <c r="T142" s="39" t="s">
        <v>38</v>
      </c>
      <c r="U142" s="22" t="str">
        <f ca="1">IF(R142=GENERALIDADES!$I$1,#REF!,"0")</f>
        <v>0</v>
      </c>
      <c r="V142" s="42" t="s">
        <v>39</v>
      </c>
      <c r="W142" s="42" t="s">
        <v>38</v>
      </c>
      <c r="X142" s="22" t="str">
        <f ca="1">IF(U142=GENERALIDADES!$K$3,T142,"0")</f>
        <v>0</v>
      </c>
      <c r="Y142" s="39" t="s">
        <v>116</v>
      </c>
      <c r="Z142" s="39" t="s">
        <v>39</v>
      </c>
      <c r="AA142" s="40"/>
      <c r="AB142" s="39"/>
      <c r="AC142" s="41" t="s">
        <v>32</v>
      </c>
      <c r="AD142" s="22">
        <f t="shared" si="40"/>
        <v>0</v>
      </c>
      <c r="AE142" s="24">
        <f t="shared" si="41"/>
        <v>1</v>
      </c>
      <c r="AF142" s="36" t="b">
        <f t="shared" si="42"/>
        <v>1</v>
      </c>
    </row>
    <row r="143" spans="1:32" ht="62.25">
      <c r="A143" s="37" t="s">
        <v>796</v>
      </c>
      <c r="B143" s="38">
        <v>46108</v>
      </c>
      <c r="C143" s="39" t="s">
        <v>70</v>
      </c>
      <c r="D143" s="52"/>
      <c r="E143" s="52"/>
      <c r="F143" s="53"/>
      <c r="G143" s="58"/>
      <c r="H143" s="39" t="s">
        <v>143</v>
      </c>
      <c r="I143" s="39"/>
      <c r="J143" s="40" t="s">
        <v>797</v>
      </c>
      <c r="K143" s="40" t="s">
        <v>798</v>
      </c>
      <c r="L143" s="39" t="s">
        <v>40</v>
      </c>
      <c r="M143" s="38">
        <v>46108</v>
      </c>
      <c r="N143" s="41" t="s">
        <v>78</v>
      </c>
      <c r="O143" s="41" t="s">
        <v>28</v>
      </c>
      <c r="P143" s="44">
        <f t="shared" ref="P143" si="43">M143-B143</f>
        <v>0</v>
      </c>
      <c r="Q143" s="38">
        <v>46108</v>
      </c>
      <c r="R143" s="46">
        <f t="shared" ref="R143" ca="1" si="44">IF(Q143-B143&lt;0,NOW()-B143,Q143-B143)</f>
        <v>0</v>
      </c>
      <c r="S143" s="39" t="s">
        <v>37</v>
      </c>
      <c r="T143" s="39" t="s">
        <v>38</v>
      </c>
      <c r="U143" s="22" t="str">
        <f ca="1">IF(R143=GENERALIDADES!$I$1,#REF!,"0")</f>
        <v>0</v>
      </c>
      <c r="V143" s="42" t="s">
        <v>39</v>
      </c>
      <c r="W143" s="42" t="s">
        <v>38</v>
      </c>
      <c r="X143" s="22" t="str">
        <f ca="1">IF(U143=GENERALIDADES!$K$3,T143,"0")</f>
        <v>0</v>
      </c>
      <c r="Y143" s="39" t="s">
        <v>116</v>
      </c>
      <c r="Z143" s="39" t="s">
        <v>39</v>
      </c>
      <c r="AA143" s="40"/>
      <c r="AB143" s="39"/>
      <c r="AC143" s="41" t="s">
        <v>32</v>
      </c>
      <c r="AD143" s="22">
        <f t="shared" si="40"/>
        <v>0</v>
      </c>
      <c r="AE143" s="24">
        <f t="shared" si="41"/>
        <v>1</v>
      </c>
      <c r="AF143" s="36" t="b">
        <f t="shared" si="42"/>
        <v>1</v>
      </c>
    </row>
    <row r="144" spans="1:32" ht="75.75">
      <c r="A144" s="37" t="s">
        <v>799</v>
      </c>
      <c r="B144" s="38">
        <v>46108</v>
      </c>
      <c r="C144" s="39" t="s">
        <v>118</v>
      </c>
      <c r="D144" s="52" t="s">
        <v>249</v>
      </c>
      <c r="E144" s="52" t="s">
        <v>250</v>
      </c>
      <c r="F144" s="53" t="s">
        <v>251</v>
      </c>
      <c r="G144" s="58">
        <v>505204</v>
      </c>
      <c r="H144" s="39" t="s">
        <v>35</v>
      </c>
      <c r="I144" s="39"/>
      <c r="J144" s="40" t="s">
        <v>800</v>
      </c>
      <c r="K144" s="40" t="s">
        <v>801</v>
      </c>
      <c r="L144" s="39" t="s">
        <v>71</v>
      </c>
      <c r="M144" s="49">
        <v>46112</v>
      </c>
      <c r="N144" s="41" t="s">
        <v>78</v>
      </c>
      <c r="O144" s="41" t="s">
        <v>28</v>
      </c>
      <c r="P144" s="44">
        <f t="shared" si="38"/>
        <v>4</v>
      </c>
      <c r="Q144" s="49">
        <v>46112</v>
      </c>
      <c r="R144" s="46">
        <f t="shared" ca="1" si="39"/>
        <v>4</v>
      </c>
      <c r="S144" s="39" t="s">
        <v>37</v>
      </c>
      <c r="T144" s="39" t="s">
        <v>38</v>
      </c>
      <c r="U144" s="22" t="str">
        <f ca="1">IF(R144=GENERALIDADES!$I$1,#REF!,"0")</f>
        <v>0</v>
      </c>
      <c r="V144" s="42" t="s">
        <v>39</v>
      </c>
      <c r="W144" s="42" t="s">
        <v>38</v>
      </c>
      <c r="X144" s="22" t="str">
        <f ca="1">IF(U144=GENERALIDADES!$K$3,T144,"0")</f>
        <v>0</v>
      </c>
      <c r="Y144" s="39" t="s">
        <v>116</v>
      </c>
      <c r="Z144" s="39" t="s">
        <v>39</v>
      </c>
      <c r="AA144" s="40"/>
      <c r="AB144" s="39"/>
      <c r="AC144" s="41" t="s">
        <v>32</v>
      </c>
      <c r="AD144" s="22">
        <f t="shared" si="40"/>
        <v>4</v>
      </c>
      <c r="AE144" s="24">
        <f t="shared" si="41"/>
        <v>3</v>
      </c>
      <c r="AF144" s="36" t="b">
        <f t="shared" si="42"/>
        <v>1</v>
      </c>
    </row>
    <row r="145" spans="1:32" ht="62.25">
      <c r="A145" s="37" t="s">
        <v>802</v>
      </c>
      <c r="B145" s="38">
        <v>46108</v>
      </c>
      <c r="C145" s="39" t="s">
        <v>118</v>
      </c>
      <c r="D145" s="52" t="s">
        <v>557</v>
      </c>
      <c r="E145" s="52" t="s">
        <v>267</v>
      </c>
      <c r="F145" s="53" t="s">
        <v>803</v>
      </c>
      <c r="G145" s="58" t="s">
        <v>804</v>
      </c>
      <c r="H145" s="39" t="s">
        <v>102</v>
      </c>
      <c r="I145" s="39"/>
      <c r="J145" s="40" t="s">
        <v>805</v>
      </c>
      <c r="K145" s="40" t="s">
        <v>801</v>
      </c>
      <c r="L145" s="39" t="s">
        <v>71</v>
      </c>
      <c r="M145" s="49">
        <v>46112</v>
      </c>
      <c r="N145" s="41" t="s">
        <v>78</v>
      </c>
      <c r="O145" s="41" t="s">
        <v>28</v>
      </c>
      <c r="P145" s="44">
        <f t="shared" ref="P145" si="45">M145-B145</f>
        <v>4</v>
      </c>
      <c r="Q145" s="49">
        <v>46112</v>
      </c>
      <c r="R145" s="46">
        <f t="shared" ref="R145" ca="1" si="46">IF(Q145-B145&lt;0,NOW()-B145,Q145-B145)</f>
        <v>4</v>
      </c>
      <c r="S145" s="39" t="s">
        <v>37</v>
      </c>
      <c r="T145" s="39" t="s">
        <v>38</v>
      </c>
      <c r="U145" s="22" t="str">
        <f ca="1">IF(R145=GENERALIDADES!$I$1,#REF!,"0")</f>
        <v>0</v>
      </c>
      <c r="V145" s="42" t="s">
        <v>39</v>
      </c>
      <c r="W145" s="42" t="s">
        <v>38</v>
      </c>
      <c r="X145" s="22" t="str">
        <f ca="1">IF(U145=GENERALIDADES!$K$3,T145,"0")</f>
        <v>0</v>
      </c>
      <c r="Y145" s="39" t="s">
        <v>116</v>
      </c>
      <c r="Z145" s="39" t="s">
        <v>39</v>
      </c>
      <c r="AA145" s="40"/>
      <c r="AB145" s="39"/>
      <c r="AC145" s="41" t="s">
        <v>32</v>
      </c>
      <c r="AD145" s="22">
        <f t="shared" si="40"/>
        <v>4</v>
      </c>
      <c r="AE145" s="24">
        <f t="shared" si="41"/>
        <v>3</v>
      </c>
      <c r="AF145" s="36" t="b">
        <f t="shared" si="42"/>
        <v>1</v>
      </c>
    </row>
    <row r="146" spans="1:32" ht="75.75">
      <c r="A146" s="37" t="s">
        <v>806</v>
      </c>
      <c r="B146" s="38">
        <v>46108</v>
      </c>
      <c r="C146" s="39" t="s">
        <v>115</v>
      </c>
      <c r="D146" s="52" t="s">
        <v>476</v>
      </c>
      <c r="E146" s="52" t="s">
        <v>477</v>
      </c>
      <c r="F146" s="53">
        <v>190800774</v>
      </c>
      <c r="G146" s="58">
        <v>574288</v>
      </c>
      <c r="H146" s="39" t="s">
        <v>153</v>
      </c>
      <c r="I146" s="39"/>
      <c r="J146" s="40" t="s">
        <v>807</v>
      </c>
      <c r="K146" s="40" t="s">
        <v>808</v>
      </c>
      <c r="L146" s="39" t="s">
        <v>26</v>
      </c>
      <c r="M146" s="49">
        <v>46111</v>
      </c>
      <c r="N146" s="41" t="s">
        <v>58</v>
      </c>
      <c r="O146" s="41" t="s">
        <v>51</v>
      </c>
      <c r="P146" s="44">
        <f t="shared" si="38"/>
        <v>3</v>
      </c>
      <c r="Q146" s="49">
        <v>46111</v>
      </c>
      <c r="R146" s="46">
        <f t="shared" ca="1" si="39"/>
        <v>3</v>
      </c>
      <c r="S146" s="39" t="s">
        <v>23</v>
      </c>
      <c r="T146" s="39" t="s">
        <v>48</v>
      </c>
      <c r="U146" s="22" t="str">
        <f ca="1">IF(R146=GENERALIDADES!$I$1,#REF!,"0")</f>
        <v>0</v>
      </c>
      <c r="V146" s="42" t="s">
        <v>39</v>
      </c>
      <c r="W146" s="42" t="s">
        <v>38</v>
      </c>
      <c r="X146" s="22" t="str">
        <f ca="1">IF(U146=GENERALIDADES!$K$3,T146,"0")</f>
        <v>0</v>
      </c>
      <c r="Y146" s="39" t="s">
        <v>59</v>
      </c>
      <c r="Z146" s="39" t="s">
        <v>39</v>
      </c>
      <c r="AA146" s="40"/>
      <c r="AB146" s="39"/>
      <c r="AC146" s="41" t="s">
        <v>67</v>
      </c>
      <c r="AD146" s="22">
        <f t="shared" si="40"/>
        <v>3</v>
      </c>
      <c r="AE146" s="24">
        <f t="shared" si="41"/>
        <v>2</v>
      </c>
      <c r="AF146" s="36" t="b">
        <f t="shared" si="42"/>
        <v>1</v>
      </c>
    </row>
    <row r="147" spans="1:32" ht="62.25">
      <c r="A147" s="37" t="s">
        <v>809</v>
      </c>
      <c r="B147" s="38">
        <v>46110</v>
      </c>
      <c r="C147" s="39" t="s">
        <v>70</v>
      </c>
      <c r="D147" s="52" t="s">
        <v>281</v>
      </c>
      <c r="E147" s="52" t="s">
        <v>282</v>
      </c>
      <c r="F147" s="53" t="s">
        <v>452</v>
      </c>
      <c r="G147" s="58">
        <v>545465</v>
      </c>
      <c r="H147" s="39" t="s">
        <v>149</v>
      </c>
      <c r="I147" s="39"/>
      <c r="J147" s="40" t="s">
        <v>810</v>
      </c>
      <c r="K147" s="40" t="s">
        <v>728</v>
      </c>
      <c r="L147" s="39" t="s">
        <v>40</v>
      </c>
      <c r="M147" s="49">
        <v>46113</v>
      </c>
      <c r="N147" s="41" t="s">
        <v>78</v>
      </c>
      <c r="O147" s="41" t="s">
        <v>28</v>
      </c>
      <c r="P147" s="44">
        <f t="shared" si="38"/>
        <v>3</v>
      </c>
      <c r="Q147" s="49">
        <v>46113</v>
      </c>
      <c r="R147" s="46">
        <f t="shared" ca="1" si="39"/>
        <v>3</v>
      </c>
      <c r="S147" s="39" t="s">
        <v>37</v>
      </c>
      <c r="T147" s="39" t="s">
        <v>38</v>
      </c>
      <c r="U147" s="22" t="str">
        <f ca="1">IF(R147=GENERALIDADES!$I$1,#REF!,"0")</f>
        <v>0</v>
      </c>
      <c r="V147" s="42" t="s">
        <v>39</v>
      </c>
      <c r="W147" s="42" t="s">
        <v>38</v>
      </c>
      <c r="X147" s="22" t="str">
        <f ca="1">IF(U147=GENERALIDADES!$K$3,T147,"0")</f>
        <v>0</v>
      </c>
      <c r="Y147" s="39" t="s">
        <v>52</v>
      </c>
      <c r="Z147" s="39" t="s">
        <v>29</v>
      </c>
      <c r="AA147" s="40" t="s">
        <v>305</v>
      </c>
      <c r="AB147" s="39"/>
      <c r="AC147" s="41" t="s">
        <v>32</v>
      </c>
      <c r="AD147" s="22">
        <f t="shared" si="40"/>
        <v>3</v>
      </c>
      <c r="AE147" s="24">
        <f t="shared" si="41"/>
        <v>3</v>
      </c>
      <c r="AF147" s="36" t="b">
        <f t="shared" si="42"/>
        <v>1</v>
      </c>
    </row>
    <row r="148" spans="1:32" ht="50.25">
      <c r="A148" s="37" t="s">
        <v>811</v>
      </c>
      <c r="B148" s="38">
        <v>46110</v>
      </c>
      <c r="C148" s="39" t="s">
        <v>70</v>
      </c>
      <c r="D148" s="52" t="s">
        <v>38</v>
      </c>
      <c r="E148" s="52" t="s">
        <v>38</v>
      </c>
      <c r="F148" s="53" t="s">
        <v>38</v>
      </c>
      <c r="G148" s="58" t="s">
        <v>38</v>
      </c>
      <c r="H148" s="39" t="s">
        <v>143</v>
      </c>
      <c r="I148" s="39"/>
      <c r="J148" s="40" t="s">
        <v>812</v>
      </c>
      <c r="K148" s="40" t="s">
        <v>813</v>
      </c>
      <c r="L148" s="39" t="s">
        <v>26</v>
      </c>
      <c r="M148" s="38">
        <v>46110</v>
      </c>
      <c r="N148" s="41" t="s">
        <v>78</v>
      </c>
      <c r="O148" s="41" t="s">
        <v>28</v>
      </c>
      <c r="P148" s="44">
        <f t="shared" si="38"/>
        <v>0</v>
      </c>
      <c r="Q148" s="38">
        <v>46110</v>
      </c>
      <c r="R148" s="46">
        <f t="shared" ca="1" si="39"/>
        <v>0</v>
      </c>
      <c r="S148" s="39" t="s">
        <v>37</v>
      </c>
      <c r="T148" s="39" t="s">
        <v>38</v>
      </c>
      <c r="U148" s="22" t="str">
        <f ca="1">IF(R148=GENERALIDADES!$I$1,#REF!,"0")</f>
        <v>0</v>
      </c>
      <c r="V148" s="42" t="s">
        <v>39</v>
      </c>
      <c r="W148" s="42" t="s">
        <v>38</v>
      </c>
      <c r="X148" s="22" t="str">
        <f ca="1">IF(U148=GENERALIDADES!$K$3,T148,"0")</f>
        <v>0</v>
      </c>
      <c r="Y148" s="39" t="s">
        <v>112</v>
      </c>
      <c r="Z148" s="39" t="s">
        <v>39</v>
      </c>
      <c r="AA148" s="40"/>
      <c r="AB148" s="39"/>
      <c r="AC148" s="41" t="s">
        <v>32</v>
      </c>
      <c r="AD148" s="22">
        <f t="shared" si="40"/>
        <v>0</v>
      </c>
      <c r="AE148" s="24">
        <f t="shared" si="41"/>
        <v>0</v>
      </c>
      <c r="AF148" s="36" t="b">
        <f t="shared" si="42"/>
        <v>1</v>
      </c>
    </row>
    <row r="149" spans="1:32" ht="62.25">
      <c r="A149" s="37" t="s">
        <v>814</v>
      </c>
      <c r="B149" s="38">
        <v>46110</v>
      </c>
      <c r="C149" s="39" t="s">
        <v>70</v>
      </c>
      <c r="D149" s="52" t="s">
        <v>38</v>
      </c>
      <c r="E149" s="52" t="s">
        <v>38</v>
      </c>
      <c r="F149" s="53" t="s">
        <v>38</v>
      </c>
      <c r="G149" s="58" t="s">
        <v>38</v>
      </c>
      <c r="H149" s="39" t="s">
        <v>155</v>
      </c>
      <c r="I149" s="39"/>
      <c r="J149" s="40" t="s">
        <v>815</v>
      </c>
      <c r="K149" s="40" t="s">
        <v>816</v>
      </c>
      <c r="L149" s="39" t="s">
        <v>26</v>
      </c>
      <c r="M149" s="38">
        <v>46111</v>
      </c>
      <c r="N149" s="41" t="s">
        <v>78</v>
      </c>
      <c r="O149" s="41" t="s">
        <v>28</v>
      </c>
      <c r="P149" s="44">
        <f t="shared" si="38"/>
        <v>1</v>
      </c>
      <c r="Q149" s="38">
        <v>46111</v>
      </c>
      <c r="R149" s="46">
        <f t="shared" ca="1" si="39"/>
        <v>1</v>
      </c>
      <c r="S149" s="39" t="s">
        <v>37</v>
      </c>
      <c r="T149" s="39" t="s">
        <v>38</v>
      </c>
      <c r="U149" s="22" t="str">
        <f ca="1">IF(R149=GENERALIDADES!$I$1,#REF!,"0")</f>
        <v>0</v>
      </c>
      <c r="V149" s="42" t="s">
        <v>39</v>
      </c>
      <c r="W149" s="42" t="s">
        <v>38</v>
      </c>
      <c r="X149" s="22" t="str">
        <f ca="1">IF(U149=GENERALIDADES!$K$3,T149,"0")</f>
        <v>0</v>
      </c>
      <c r="Y149" s="39" t="s">
        <v>52</v>
      </c>
      <c r="Z149" s="39" t="s">
        <v>39</v>
      </c>
      <c r="AA149" s="40"/>
      <c r="AB149" s="39"/>
      <c r="AC149" s="41" t="s">
        <v>32</v>
      </c>
      <c r="AD149" s="22">
        <f t="shared" si="40"/>
        <v>1</v>
      </c>
      <c r="AE149" s="24">
        <f t="shared" si="41"/>
        <v>1</v>
      </c>
      <c r="AF149" s="36" t="b">
        <f t="shared" si="42"/>
        <v>1</v>
      </c>
    </row>
    <row r="150" spans="1:32" ht="50.25">
      <c r="A150" s="37" t="s">
        <v>817</v>
      </c>
      <c r="B150" s="38">
        <v>46111</v>
      </c>
      <c r="C150" s="39" t="s">
        <v>132</v>
      </c>
      <c r="D150" s="52" t="s">
        <v>38</v>
      </c>
      <c r="E150" s="52" t="s">
        <v>38</v>
      </c>
      <c r="F150" s="53" t="s">
        <v>38</v>
      </c>
      <c r="G150" s="58" t="s">
        <v>38</v>
      </c>
      <c r="H150" s="39" t="s">
        <v>157</v>
      </c>
      <c r="I150" s="39" t="s">
        <v>302</v>
      </c>
      <c r="J150" s="40" t="s">
        <v>818</v>
      </c>
      <c r="K150" s="40" t="s">
        <v>819</v>
      </c>
      <c r="L150" s="39" t="s">
        <v>26</v>
      </c>
      <c r="M150" s="49">
        <v>46111</v>
      </c>
      <c r="N150" s="41" t="s">
        <v>78</v>
      </c>
      <c r="O150" s="41" t="s">
        <v>28</v>
      </c>
      <c r="P150" s="44">
        <f t="shared" si="38"/>
        <v>0</v>
      </c>
      <c r="Q150" s="49">
        <v>46111</v>
      </c>
      <c r="R150" s="46">
        <f t="shared" ca="1" si="39"/>
        <v>0</v>
      </c>
      <c r="S150" s="39" t="s">
        <v>37</v>
      </c>
      <c r="T150" s="39" t="s">
        <v>38</v>
      </c>
      <c r="U150" s="22" t="str">
        <f ca="1">IF(R150=GENERALIDADES!$I$1,#REF!,"0")</f>
        <v>0</v>
      </c>
      <c r="V150" s="42" t="s">
        <v>39</v>
      </c>
      <c r="W150" s="42" t="s">
        <v>38</v>
      </c>
      <c r="X150" s="22" t="str">
        <f ca="1">IF(U150=GENERALIDADES!$K$3,T150,"0")</f>
        <v>0</v>
      </c>
      <c r="Y150" s="39" t="s">
        <v>52</v>
      </c>
      <c r="Z150" s="39" t="s">
        <v>39</v>
      </c>
      <c r="AA150" s="40"/>
      <c r="AB150" s="39"/>
      <c r="AC150" s="41" t="s">
        <v>32</v>
      </c>
      <c r="AD150" s="22">
        <f t="shared" si="40"/>
        <v>0</v>
      </c>
      <c r="AE150" s="24">
        <f t="shared" si="41"/>
        <v>1</v>
      </c>
      <c r="AF150" s="36" t="b">
        <f t="shared" si="42"/>
        <v>1</v>
      </c>
    </row>
    <row r="151" spans="1:32" ht="62.25">
      <c r="A151" s="37" t="s">
        <v>820</v>
      </c>
      <c r="B151" s="38">
        <v>46111</v>
      </c>
      <c r="C151" s="39" t="s">
        <v>158</v>
      </c>
      <c r="D151" s="52" t="s">
        <v>312</v>
      </c>
      <c r="E151" s="52" t="s">
        <v>821</v>
      </c>
      <c r="F151" s="53" t="s">
        <v>822</v>
      </c>
      <c r="G151" s="58">
        <v>547392</v>
      </c>
      <c r="H151" s="39" t="s">
        <v>106</v>
      </c>
      <c r="I151" s="39"/>
      <c r="J151" s="40" t="s">
        <v>823</v>
      </c>
      <c r="K151" s="40" t="s">
        <v>824</v>
      </c>
      <c r="L151" s="39" t="s">
        <v>26</v>
      </c>
      <c r="M151" s="49">
        <v>46113</v>
      </c>
      <c r="N151" s="41" t="s">
        <v>78</v>
      </c>
      <c r="O151" s="41" t="s">
        <v>28</v>
      </c>
      <c r="P151" s="44">
        <f t="shared" si="38"/>
        <v>2</v>
      </c>
      <c r="Q151" s="49">
        <v>46113</v>
      </c>
      <c r="R151" s="46">
        <f t="shared" ca="1" si="39"/>
        <v>2</v>
      </c>
      <c r="S151" s="39" t="s">
        <v>37</v>
      </c>
      <c r="T151" s="39" t="s">
        <v>38</v>
      </c>
      <c r="U151" s="22" t="str">
        <f ca="1">IF(R151=GENERALIDADES!$I$1,#REF!,"0")</f>
        <v>0</v>
      </c>
      <c r="V151" s="42" t="s">
        <v>39</v>
      </c>
      <c r="W151" s="42" t="s">
        <v>38</v>
      </c>
      <c r="X151" s="22" t="str">
        <f ca="1">IF(U151=GENERALIDADES!$K$3,T151,"0")</f>
        <v>0</v>
      </c>
      <c r="Y151" s="39" t="s">
        <v>17</v>
      </c>
      <c r="Z151" s="39" t="s">
        <v>39</v>
      </c>
      <c r="AA151" s="40"/>
      <c r="AB151" s="39"/>
      <c r="AC151" s="41" t="s">
        <v>32</v>
      </c>
      <c r="AD151" s="22">
        <f t="shared" si="40"/>
        <v>2</v>
      </c>
      <c r="AE151" s="24">
        <f t="shared" si="41"/>
        <v>3</v>
      </c>
      <c r="AF151" s="36" t="b">
        <f t="shared" si="42"/>
        <v>1</v>
      </c>
    </row>
    <row r="152" spans="1:32" ht="50.25">
      <c r="A152" s="37" t="s">
        <v>825</v>
      </c>
      <c r="B152" s="38">
        <v>46111</v>
      </c>
      <c r="C152" s="39" t="s">
        <v>134</v>
      </c>
      <c r="D152" s="52" t="s">
        <v>826</v>
      </c>
      <c r="E152" s="52" t="s">
        <v>827</v>
      </c>
      <c r="F152" s="53" t="s">
        <v>828</v>
      </c>
      <c r="G152" s="58">
        <v>546045</v>
      </c>
      <c r="H152" s="39" t="s">
        <v>106</v>
      </c>
      <c r="I152" s="39"/>
      <c r="J152" s="40" t="s">
        <v>829</v>
      </c>
      <c r="K152" s="40" t="s">
        <v>830</v>
      </c>
      <c r="L152" s="39" t="s">
        <v>26</v>
      </c>
      <c r="M152" s="49">
        <v>46112</v>
      </c>
      <c r="N152" s="41" t="s">
        <v>78</v>
      </c>
      <c r="O152" s="41" t="s">
        <v>28</v>
      </c>
      <c r="P152" s="44">
        <f t="shared" si="38"/>
        <v>1</v>
      </c>
      <c r="Q152" s="49">
        <v>46112</v>
      </c>
      <c r="R152" s="46">
        <f t="shared" ca="1" si="39"/>
        <v>1</v>
      </c>
      <c r="S152" s="39" t="s">
        <v>37</v>
      </c>
      <c r="T152" s="39" t="s">
        <v>38</v>
      </c>
      <c r="U152" s="22" t="str">
        <f ca="1">IF(R152=GENERALIDADES!$I$1,#REF!,"0")</f>
        <v>0</v>
      </c>
      <c r="V152" s="42" t="s">
        <v>39</v>
      </c>
      <c r="W152" s="42" t="s">
        <v>38</v>
      </c>
      <c r="X152" s="22" t="str">
        <f ca="1">IF(U152=GENERALIDADES!$K$3,T152,"0")</f>
        <v>0</v>
      </c>
      <c r="Y152" s="39" t="s">
        <v>112</v>
      </c>
      <c r="Z152" s="39" t="s">
        <v>39</v>
      </c>
      <c r="AA152" s="40"/>
      <c r="AB152" s="39"/>
      <c r="AC152" s="41" t="s">
        <v>32</v>
      </c>
      <c r="AD152" s="22">
        <f t="shared" si="40"/>
        <v>1</v>
      </c>
      <c r="AE152" s="24">
        <f t="shared" si="41"/>
        <v>2</v>
      </c>
      <c r="AF152" s="36" t="b">
        <f t="shared" si="42"/>
        <v>1</v>
      </c>
    </row>
    <row r="153" spans="1:32" ht="37.5">
      <c r="A153" s="37" t="s">
        <v>831</v>
      </c>
      <c r="B153" s="38">
        <v>46111</v>
      </c>
      <c r="C153" s="39" t="s">
        <v>158</v>
      </c>
      <c r="D153" s="52" t="s">
        <v>38</v>
      </c>
      <c r="E153" s="52" t="s">
        <v>38</v>
      </c>
      <c r="F153" s="53" t="s">
        <v>38</v>
      </c>
      <c r="G153" s="58" t="s">
        <v>38</v>
      </c>
      <c r="H153" s="39" t="s">
        <v>141</v>
      </c>
      <c r="I153" s="39"/>
      <c r="J153" s="40" t="s">
        <v>832</v>
      </c>
      <c r="K153" s="40" t="s">
        <v>833</v>
      </c>
      <c r="L153" s="39" t="s">
        <v>40</v>
      </c>
      <c r="M153" s="49">
        <v>46112</v>
      </c>
      <c r="N153" s="41" t="s">
        <v>78</v>
      </c>
      <c r="O153" s="41" t="s">
        <v>28</v>
      </c>
      <c r="P153" s="44">
        <f t="shared" si="38"/>
        <v>1</v>
      </c>
      <c r="Q153" s="49">
        <v>46112</v>
      </c>
      <c r="R153" s="46">
        <f t="shared" ca="1" si="39"/>
        <v>1</v>
      </c>
      <c r="S153" s="39" t="s">
        <v>37</v>
      </c>
      <c r="T153" s="39" t="s">
        <v>38</v>
      </c>
      <c r="U153" s="22" t="str">
        <f ca="1">IF(R153=GENERALIDADES!$I$1,#REF!,"0")</f>
        <v>0</v>
      </c>
      <c r="V153" s="42" t="s">
        <v>39</v>
      </c>
      <c r="W153" s="42" t="s">
        <v>38</v>
      </c>
      <c r="X153" s="22" t="str">
        <f ca="1">IF(U153=GENERALIDADES!$K$3,T153,"0")</f>
        <v>0</v>
      </c>
      <c r="Y153" s="39" t="s">
        <v>112</v>
      </c>
      <c r="Z153" s="39" t="s">
        <v>39</v>
      </c>
      <c r="AA153" s="40"/>
      <c r="AB153" s="39"/>
      <c r="AC153" s="41" t="s">
        <v>32</v>
      </c>
      <c r="AD153" s="22">
        <f t="shared" si="40"/>
        <v>1</v>
      </c>
      <c r="AE153" s="24">
        <f t="shared" si="41"/>
        <v>2</v>
      </c>
      <c r="AF153" s="36" t="b">
        <f t="shared" si="42"/>
        <v>1</v>
      </c>
    </row>
    <row r="154" spans="1:32" ht="113.25">
      <c r="A154" s="37" t="s">
        <v>834</v>
      </c>
      <c r="B154" s="38">
        <v>46111</v>
      </c>
      <c r="C154" s="39" t="s">
        <v>70</v>
      </c>
      <c r="D154" s="52" t="s">
        <v>222</v>
      </c>
      <c r="E154" s="52" t="s">
        <v>223</v>
      </c>
      <c r="F154" s="53" t="s">
        <v>255</v>
      </c>
      <c r="G154" s="58">
        <v>545695</v>
      </c>
      <c r="H154" s="39" t="s">
        <v>143</v>
      </c>
      <c r="I154" s="39"/>
      <c r="J154" s="40" t="s">
        <v>835</v>
      </c>
      <c r="K154" s="40" t="s">
        <v>836</v>
      </c>
      <c r="L154" s="39" t="s">
        <v>26</v>
      </c>
      <c r="M154" s="38">
        <v>46113</v>
      </c>
      <c r="N154" s="41" t="s">
        <v>78</v>
      </c>
      <c r="O154" s="41" t="s">
        <v>28</v>
      </c>
      <c r="P154" s="44">
        <f t="shared" si="38"/>
        <v>2</v>
      </c>
      <c r="Q154" s="38">
        <v>46113</v>
      </c>
      <c r="R154" s="46">
        <f t="shared" ca="1" si="39"/>
        <v>2</v>
      </c>
      <c r="S154" s="39" t="s">
        <v>37</v>
      </c>
      <c r="T154" s="39" t="s">
        <v>38</v>
      </c>
      <c r="U154" s="22" t="str">
        <f ca="1">IF(R154=GENERALIDADES!$I$1,#REF!,"0")</f>
        <v>0</v>
      </c>
      <c r="V154" s="42" t="s">
        <v>39</v>
      </c>
      <c r="W154" s="42" t="s">
        <v>38</v>
      </c>
      <c r="X154" s="22" t="str">
        <f ca="1">IF(U154=GENERALIDADES!$K$3,T154,"0")</f>
        <v>0</v>
      </c>
      <c r="Y154" s="39" t="s">
        <v>52</v>
      </c>
      <c r="Z154" s="39" t="s">
        <v>29</v>
      </c>
      <c r="AA154" s="40" t="s">
        <v>305</v>
      </c>
      <c r="AB154" s="39"/>
      <c r="AC154" s="41" t="s">
        <v>32</v>
      </c>
      <c r="AD154" s="22">
        <f t="shared" si="40"/>
        <v>2</v>
      </c>
      <c r="AE154" s="24">
        <f t="shared" si="41"/>
        <v>3</v>
      </c>
      <c r="AF154" s="36" t="b">
        <f t="shared" si="42"/>
        <v>1</v>
      </c>
    </row>
    <row r="155" spans="1:32" ht="62.25">
      <c r="A155" s="37" t="s">
        <v>837</v>
      </c>
      <c r="B155" s="38">
        <v>46112</v>
      </c>
      <c r="C155" s="39" t="s">
        <v>70</v>
      </c>
      <c r="D155" s="52" t="s">
        <v>222</v>
      </c>
      <c r="E155" s="52" t="s">
        <v>430</v>
      </c>
      <c r="F155" s="53" t="s">
        <v>525</v>
      </c>
      <c r="G155" s="58">
        <v>573991</v>
      </c>
      <c r="H155" s="39" t="s">
        <v>114</v>
      </c>
      <c r="I155" s="39"/>
      <c r="J155" s="40" t="s">
        <v>838</v>
      </c>
      <c r="K155" s="40" t="s">
        <v>839</v>
      </c>
      <c r="L155" s="39" t="s">
        <v>40</v>
      </c>
      <c r="M155" s="49">
        <v>46112</v>
      </c>
      <c r="N155" s="41" t="s">
        <v>78</v>
      </c>
      <c r="O155" s="41" t="s">
        <v>28</v>
      </c>
      <c r="P155" s="44">
        <f t="shared" si="38"/>
        <v>0</v>
      </c>
      <c r="Q155" s="49">
        <v>46112</v>
      </c>
      <c r="R155" s="46">
        <f t="shared" ca="1" si="39"/>
        <v>0</v>
      </c>
      <c r="S155" s="39" t="s">
        <v>37</v>
      </c>
      <c r="T155" s="39" t="s">
        <v>38</v>
      </c>
      <c r="U155" s="22" t="str">
        <f ca="1">IF(R155=GENERALIDADES!$I$1,#REF!,"0")</f>
        <v>0</v>
      </c>
      <c r="V155" s="42" t="s">
        <v>39</v>
      </c>
      <c r="W155" s="42" t="s">
        <v>38</v>
      </c>
      <c r="X155" s="22" t="str">
        <f ca="1">IF(U155=GENERALIDADES!$K$3,T155,"0")</f>
        <v>0</v>
      </c>
      <c r="Y155" s="39" t="s">
        <v>52</v>
      </c>
      <c r="Z155" s="39" t="s">
        <v>39</v>
      </c>
      <c r="AA155" s="40"/>
      <c r="AB155" s="39"/>
      <c r="AC155" s="41" t="s">
        <v>32</v>
      </c>
      <c r="AD155" s="22">
        <f t="shared" si="40"/>
        <v>0</v>
      </c>
      <c r="AE155" s="24">
        <f t="shared" si="41"/>
        <v>1</v>
      </c>
      <c r="AF155" s="36" t="b">
        <f t="shared" si="42"/>
        <v>1</v>
      </c>
    </row>
    <row r="156" spans="1:32" ht="62.25">
      <c r="A156" s="37" t="s">
        <v>840</v>
      </c>
      <c r="B156" s="38">
        <v>46112</v>
      </c>
      <c r="C156" s="39" t="s">
        <v>70</v>
      </c>
      <c r="D156" s="52" t="s">
        <v>222</v>
      </c>
      <c r="E156" s="52" t="s">
        <v>223</v>
      </c>
      <c r="F156" s="53" t="s">
        <v>752</v>
      </c>
      <c r="G156" s="58">
        <v>545688</v>
      </c>
      <c r="H156" s="39" t="s">
        <v>157</v>
      </c>
      <c r="I156" s="39"/>
      <c r="J156" s="40" t="s">
        <v>841</v>
      </c>
      <c r="K156" s="40" t="s">
        <v>728</v>
      </c>
      <c r="L156" s="39" t="s">
        <v>64</v>
      </c>
      <c r="M156" s="38">
        <v>46112</v>
      </c>
      <c r="N156" s="41" t="s">
        <v>78</v>
      </c>
      <c r="O156" s="41" t="s">
        <v>28</v>
      </c>
      <c r="P156" s="44">
        <f t="shared" ref="P156" si="47">M156-B156</f>
        <v>0</v>
      </c>
      <c r="Q156" s="38">
        <v>46112</v>
      </c>
      <c r="R156" s="46">
        <f t="shared" ref="R156" ca="1" si="48">IF(Q156-B156&lt;0,NOW()-B156,Q156-B156)</f>
        <v>0</v>
      </c>
      <c r="S156" s="39" t="s">
        <v>37</v>
      </c>
      <c r="T156" s="39" t="s">
        <v>38</v>
      </c>
      <c r="U156" s="22" t="str">
        <f ca="1">IF(R156=GENERALIDADES!$I$1,#REF!,"0")</f>
        <v>0</v>
      </c>
      <c r="V156" s="42" t="s">
        <v>39</v>
      </c>
      <c r="W156" s="42" t="s">
        <v>38</v>
      </c>
      <c r="X156" s="22" t="str">
        <f ca="1">IF(U156=GENERALIDADES!$K$3,T156,"0")</f>
        <v>0</v>
      </c>
      <c r="Y156" s="39" t="s">
        <v>52</v>
      </c>
      <c r="Z156" s="39" t="s">
        <v>39</v>
      </c>
      <c r="AA156" s="40"/>
      <c r="AB156" s="39"/>
      <c r="AC156" s="41" t="s">
        <v>32</v>
      </c>
      <c r="AD156" s="22">
        <f t="shared" si="40"/>
        <v>0</v>
      </c>
      <c r="AE156" s="24">
        <f t="shared" si="41"/>
        <v>1</v>
      </c>
      <c r="AF156" s="36" t="b">
        <f t="shared" si="42"/>
        <v>1</v>
      </c>
    </row>
    <row r="157" spans="1:32" ht="100.5">
      <c r="A157" s="37" t="s">
        <v>842</v>
      </c>
      <c r="B157" s="38">
        <v>46112</v>
      </c>
      <c r="C157" s="39" t="s">
        <v>70</v>
      </c>
      <c r="D157" s="52" t="s">
        <v>222</v>
      </c>
      <c r="E157" s="52" t="s">
        <v>223</v>
      </c>
      <c r="F157" s="53" t="s">
        <v>843</v>
      </c>
      <c r="G157" s="58">
        <v>545366</v>
      </c>
      <c r="H157" s="39" t="s">
        <v>157</v>
      </c>
      <c r="I157" s="39" t="s">
        <v>302</v>
      </c>
      <c r="J157" s="40" t="s">
        <v>844</v>
      </c>
      <c r="K157" s="40" t="s">
        <v>845</v>
      </c>
      <c r="L157" s="39" t="s">
        <v>40</v>
      </c>
      <c r="M157" s="38">
        <v>46112</v>
      </c>
      <c r="N157" s="41" t="s">
        <v>78</v>
      </c>
      <c r="O157" s="41" t="s">
        <v>28</v>
      </c>
      <c r="P157" s="44">
        <f t="shared" si="38"/>
        <v>0</v>
      </c>
      <c r="Q157" s="38">
        <v>46112</v>
      </c>
      <c r="R157" s="46">
        <f t="shared" ca="1" si="39"/>
        <v>0</v>
      </c>
      <c r="S157" s="39" t="s">
        <v>37</v>
      </c>
      <c r="T157" s="39" t="s">
        <v>38</v>
      </c>
      <c r="U157" s="22" t="str">
        <f ca="1">IF(R157=GENERALIDADES!$I$1,#REF!,"0")</f>
        <v>0</v>
      </c>
      <c r="V157" s="42" t="s">
        <v>39</v>
      </c>
      <c r="W157" s="42" t="s">
        <v>38</v>
      </c>
      <c r="X157" s="22" t="str">
        <f ca="1">IF(U157=GENERALIDADES!$K$3,T157,"0")</f>
        <v>0</v>
      </c>
      <c r="Y157" s="39" t="s">
        <v>43</v>
      </c>
      <c r="Z157" s="39" t="s">
        <v>39</v>
      </c>
      <c r="AA157" s="40"/>
      <c r="AB157" s="39"/>
      <c r="AC157" s="41" t="s">
        <v>32</v>
      </c>
      <c r="AD157" s="22">
        <f t="shared" si="40"/>
        <v>0</v>
      </c>
      <c r="AE157" s="24">
        <f t="shared" si="41"/>
        <v>1</v>
      </c>
      <c r="AF157" s="36" t="b">
        <f t="shared" si="42"/>
        <v>1</v>
      </c>
    </row>
    <row r="158" spans="1:32" ht="59.25" customHeight="1">
      <c r="A158" s="37" t="s">
        <v>846</v>
      </c>
      <c r="B158" s="38">
        <v>46112</v>
      </c>
      <c r="C158" s="39" t="s">
        <v>70</v>
      </c>
      <c r="D158" s="52" t="s">
        <v>222</v>
      </c>
      <c r="E158" s="52" t="s">
        <v>223</v>
      </c>
      <c r="F158" s="53" t="s">
        <v>379</v>
      </c>
      <c r="G158" s="58" t="s">
        <v>380</v>
      </c>
      <c r="H158" s="39" t="s">
        <v>114</v>
      </c>
      <c r="I158" s="39"/>
      <c r="J158" s="40" t="s">
        <v>847</v>
      </c>
      <c r="K158" s="40" t="s">
        <v>728</v>
      </c>
      <c r="L158" s="39" t="s">
        <v>40</v>
      </c>
      <c r="M158" s="49">
        <v>46112</v>
      </c>
      <c r="N158" s="41" t="s">
        <v>78</v>
      </c>
      <c r="O158" s="41" t="s">
        <v>28</v>
      </c>
      <c r="P158" s="44">
        <f t="shared" si="38"/>
        <v>0</v>
      </c>
      <c r="Q158" s="49">
        <v>46112</v>
      </c>
      <c r="R158" s="46">
        <f t="shared" ca="1" si="39"/>
        <v>0</v>
      </c>
      <c r="S158" s="39" t="s">
        <v>37</v>
      </c>
      <c r="T158" s="39" t="s">
        <v>38</v>
      </c>
      <c r="U158" s="22" t="str">
        <f ca="1">IF(R158=GENERALIDADES!$I$1,#REF!,"0")</f>
        <v>0</v>
      </c>
      <c r="V158" s="42" t="s">
        <v>39</v>
      </c>
      <c r="W158" s="42" t="s">
        <v>38</v>
      </c>
      <c r="X158" s="22" t="str">
        <f ca="1">IF(U158=GENERALIDADES!$K$3,T158,"0")</f>
        <v>0</v>
      </c>
      <c r="Y158" s="39" t="s">
        <v>52</v>
      </c>
      <c r="Z158" s="39" t="s">
        <v>29</v>
      </c>
      <c r="AA158" s="40" t="s">
        <v>305</v>
      </c>
      <c r="AB158" s="39"/>
      <c r="AC158" s="41" t="s">
        <v>32</v>
      </c>
      <c r="AD158" s="22">
        <f t="shared" si="40"/>
        <v>0</v>
      </c>
      <c r="AE158" s="24">
        <f t="shared" si="41"/>
        <v>1</v>
      </c>
      <c r="AF158" s="36" t="b">
        <f t="shared" si="42"/>
        <v>1</v>
      </c>
    </row>
    <row r="159" spans="1:32" ht="62.25">
      <c r="A159" s="37" t="s">
        <v>848</v>
      </c>
      <c r="B159" s="38">
        <v>46112</v>
      </c>
      <c r="C159" s="39" t="s">
        <v>70</v>
      </c>
      <c r="D159" s="52" t="s">
        <v>222</v>
      </c>
      <c r="E159" s="52" t="s">
        <v>223</v>
      </c>
      <c r="F159" s="53" t="s">
        <v>379</v>
      </c>
      <c r="G159" s="58" t="s">
        <v>380</v>
      </c>
      <c r="H159" s="39" t="s">
        <v>114</v>
      </c>
      <c r="I159" s="39"/>
      <c r="J159" s="40" t="s">
        <v>849</v>
      </c>
      <c r="K159" s="40" t="s">
        <v>728</v>
      </c>
      <c r="L159" s="39" t="s">
        <v>40</v>
      </c>
      <c r="M159" s="49">
        <v>46112</v>
      </c>
      <c r="N159" s="41" t="s">
        <v>78</v>
      </c>
      <c r="O159" s="41" t="s">
        <v>28</v>
      </c>
      <c r="P159" s="44">
        <f t="shared" ref="P159" si="49">M159-B159</f>
        <v>0</v>
      </c>
      <c r="Q159" s="49">
        <v>46112</v>
      </c>
      <c r="R159" s="46">
        <f t="shared" ref="R159" ca="1" si="50">IF(Q159-B159&lt;0,NOW()-B159,Q159-B159)</f>
        <v>0</v>
      </c>
      <c r="S159" s="39" t="s">
        <v>37</v>
      </c>
      <c r="T159" s="39" t="s">
        <v>38</v>
      </c>
      <c r="U159" s="22" t="str">
        <f ca="1">IF(R159=GENERALIDADES!$I$1,#REF!,"0")</f>
        <v>0</v>
      </c>
      <c r="V159" s="42" t="s">
        <v>39</v>
      </c>
      <c r="W159" s="42" t="s">
        <v>38</v>
      </c>
      <c r="X159" s="22" t="str">
        <f ca="1">IF(U159=GENERALIDADES!$K$3,T159,"0")</f>
        <v>0</v>
      </c>
      <c r="Y159" s="39" t="s">
        <v>52</v>
      </c>
      <c r="Z159" s="39" t="s">
        <v>39</v>
      </c>
      <c r="AA159" s="40"/>
      <c r="AB159" s="39"/>
      <c r="AC159" s="41" t="s">
        <v>32</v>
      </c>
      <c r="AD159" s="22">
        <f t="shared" si="40"/>
        <v>0</v>
      </c>
      <c r="AE159" s="24">
        <f t="shared" si="41"/>
        <v>1</v>
      </c>
      <c r="AF159" s="36" t="b">
        <f t="shared" si="42"/>
        <v>1</v>
      </c>
    </row>
    <row r="160" spans="1:32" ht="62.25">
      <c r="A160" s="37" t="s">
        <v>850</v>
      </c>
      <c r="B160" s="38">
        <v>46112</v>
      </c>
      <c r="C160" s="39" t="s">
        <v>70</v>
      </c>
      <c r="D160" s="52" t="s">
        <v>222</v>
      </c>
      <c r="E160" s="52" t="s">
        <v>430</v>
      </c>
      <c r="F160" s="53" t="s">
        <v>525</v>
      </c>
      <c r="G160" s="58">
        <v>573991</v>
      </c>
      <c r="H160" s="39" t="s">
        <v>114</v>
      </c>
      <c r="I160" s="39"/>
      <c r="J160" s="40" t="s">
        <v>851</v>
      </c>
      <c r="K160" s="40" t="s">
        <v>839</v>
      </c>
      <c r="L160" s="39" t="s">
        <v>40</v>
      </c>
      <c r="M160" s="49">
        <v>46112</v>
      </c>
      <c r="N160" s="41" t="s">
        <v>78</v>
      </c>
      <c r="O160" s="41" t="s">
        <v>28</v>
      </c>
      <c r="P160" s="44">
        <f t="shared" ref="P160" si="51">M160-B160</f>
        <v>0</v>
      </c>
      <c r="Q160" s="49">
        <v>46112</v>
      </c>
      <c r="R160" s="46">
        <f t="shared" ref="R160" ca="1" si="52">IF(Q160-B160&lt;0,NOW()-B160,Q160-B160)</f>
        <v>0</v>
      </c>
      <c r="S160" s="39" t="s">
        <v>37</v>
      </c>
      <c r="T160" s="39" t="s">
        <v>38</v>
      </c>
      <c r="U160" s="22" t="str">
        <f ca="1">IF(R160=GENERALIDADES!$I$1,#REF!,"0")</f>
        <v>0</v>
      </c>
      <c r="V160" s="42" t="s">
        <v>39</v>
      </c>
      <c r="W160" s="42" t="s">
        <v>38</v>
      </c>
      <c r="X160" s="22" t="str">
        <f ca="1">IF(U160=GENERALIDADES!$K$3,T160,"0")</f>
        <v>0</v>
      </c>
      <c r="Y160" s="39" t="s">
        <v>52</v>
      </c>
      <c r="Z160" s="39" t="s">
        <v>39</v>
      </c>
      <c r="AA160" s="40"/>
      <c r="AB160" s="39"/>
      <c r="AC160" s="41" t="s">
        <v>32</v>
      </c>
      <c r="AD160" s="22">
        <f t="shared" si="40"/>
        <v>0</v>
      </c>
      <c r="AE160" s="24">
        <f t="shared" si="41"/>
        <v>1</v>
      </c>
      <c r="AF160" s="36" t="b">
        <f t="shared" si="42"/>
        <v>1</v>
      </c>
    </row>
    <row r="161" spans="1:32" ht="62.25">
      <c r="A161" s="37" t="s">
        <v>852</v>
      </c>
      <c r="B161" s="38">
        <v>46112</v>
      </c>
      <c r="C161" s="39" t="s">
        <v>107</v>
      </c>
      <c r="D161" s="52"/>
      <c r="E161" s="52"/>
      <c r="F161" s="53" t="s">
        <v>853</v>
      </c>
      <c r="G161" s="58"/>
      <c r="H161" s="39" t="s">
        <v>98</v>
      </c>
      <c r="I161" s="39" t="s">
        <v>202</v>
      </c>
      <c r="J161" s="40" t="s">
        <v>854</v>
      </c>
      <c r="K161" s="40" t="s">
        <v>855</v>
      </c>
      <c r="L161" s="39" t="s">
        <v>40</v>
      </c>
      <c r="M161" s="38">
        <v>46112</v>
      </c>
      <c r="N161" s="41" t="s">
        <v>78</v>
      </c>
      <c r="O161" s="41" t="s">
        <v>28</v>
      </c>
      <c r="P161" s="44">
        <f t="shared" si="38"/>
        <v>0</v>
      </c>
      <c r="Q161" s="38">
        <v>46112</v>
      </c>
      <c r="R161" s="46">
        <f t="shared" ca="1" si="39"/>
        <v>0</v>
      </c>
      <c r="S161" s="39" t="s">
        <v>37</v>
      </c>
      <c r="T161" s="39" t="s">
        <v>38</v>
      </c>
      <c r="U161" s="22" t="str">
        <f ca="1">IF(R161=GENERALIDADES!$I$1,#REF!,"0")</f>
        <v>0</v>
      </c>
      <c r="V161" s="42" t="s">
        <v>39</v>
      </c>
      <c r="W161" s="42" t="s">
        <v>38</v>
      </c>
      <c r="X161" s="22" t="str">
        <f ca="1">IF(U161=GENERALIDADES!$K$3,T161,"0")</f>
        <v>0</v>
      </c>
      <c r="Y161" s="39" t="s">
        <v>112</v>
      </c>
      <c r="Z161" s="39" t="s">
        <v>39</v>
      </c>
      <c r="AA161" s="40"/>
      <c r="AB161" s="39"/>
      <c r="AC161" s="41" t="s">
        <v>32</v>
      </c>
      <c r="AD161" s="22">
        <f t="shared" si="40"/>
        <v>0</v>
      </c>
      <c r="AE161" s="24">
        <f t="shared" si="41"/>
        <v>1</v>
      </c>
      <c r="AF161" s="36" t="b">
        <f t="shared" si="42"/>
        <v>1</v>
      </c>
    </row>
    <row r="164" spans="1:32" ht="15" customHeight="1">
      <c r="G164" s="55" t="s">
        <v>856</v>
      </c>
      <c r="H164" s="56">
        <f>COUNTA(Marzo_2026[EQUIPO])</f>
        <v>160</v>
      </c>
    </row>
    <row r="165" spans="1:32" ht="15" customHeight="1">
      <c r="E165" t="s">
        <v>857</v>
      </c>
      <c r="G165" s="55" t="s">
        <v>858</v>
      </c>
      <c r="H165" s="56">
        <f>COUNTIF(Marzo_2026[ESTADO EN GMA SOPORTE], "⚠ PTE POR CONFIRMAR")</f>
        <v>144</v>
      </c>
    </row>
    <row r="166" spans="1:32" ht="15" customHeight="1">
      <c r="E166" t="s">
        <v>856</v>
      </c>
      <c r="G166" s="55" t="s">
        <v>859</v>
      </c>
      <c r="H166" s="56">
        <f>COUNTIF(Marzo_2026[ESTADO EN GMA SOPORTE], "⚙ TRABAJANDO")</f>
        <v>16</v>
      </c>
    </row>
    <row r="167" spans="1:32" ht="15" customHeight="1">
      <c r="G167" s="55" t="s">
        <v>860</v>
      </c>
      <c r="H167" s="56">
        <f>COUNTIF(Marzo_2026[ESTADO EN GMA SOPORTE], "📑 SOLICITADO")</f>
        <v>0</v>
      </c>
    </row>
    <row r="168" spans="1:32" ht="15" customHeight="1">
      <c r="G168" s="55"/>
      <c r="H168" s="57">
        <f>H165/H164</f>
        <v>0.9</v>
      </c>
    </row>
  </sheetData>
  <conditionalFormatting sqref="L2:L161">
    <cfRule type="containsText" dxfId="172" priority="3888" operator="containsText" text="David Ospina">
      <formula>NOT(ISERROR(SEARCH("David Ospina",L2)))</formula>
    </cfRule>
    <cfRule type="containsText" dxfId="171" priority="3889" operator="containsText" text="Tatiana Salazar">
      <formula>NOT(ISERROR(SEARCH("Tatiana Salazar",L2)))</formula>
    </cfRule>
    <cfRule type="containsText" dxfId="170" priority="3892" operator="containsText" text="Cristian Hurtado">
      <formula>NOT(ISERROR(SEARCH("Cristian Hurtado",L2)))</formula>
    </cfRule>
    <cfRule type="containsText" dxfId="169" priority="3894" operator="containsText" text="Camilo Ramirez">
      <formula>NOT(ISERROR(SEARCH(("Camilo Ramirez"),(L2))))</formula>
    </cfRule>
    <cfRule type="containsText" dxfId="168" priority="3895" operator="containsText" text="Victor Lopez">
      <formula>NOT(ISERROR(SEARCH(("Victor Lopez"),(L2))))</formula>
    </cfRule>
    <cfRule type="containsText" dxfId="167" priority="3896" operator="containsText" text="Leonardo Marín">
      <formula>NOT(ISERROR(SEARCH("Leonardo Marín",L2)))</formula>
    </cfRule>
  </conditionalFormatting>
  <conditionalFormatting sqref="N2:O161">
    <cfRule type="containsText" dxfId="166" priority="97" operator="containsText" text="Trabajando">
      <formula>NOT(ISERROR(SEARCH("Trabajando",N2)))</formula>
    </cfRule>
    <cfRule type="containsText" dxfId="165" priority="98" operator="containsText" text="Confirmado">
      <formula>NOT(ISERROR(SEARCH("Confirmado",N2)))</formula>
    </cfRule>
    <cfRule type="containsText" dxfId="164" priority="99" operator="containsText" text="Solicitado">
      <formula>NOT(ISERROR(SEARCH("Solicitado",N2)))</formula>
    </cfRule>
    <cfRule type="containsText" dxfId="163" priority="100" operator="containsText" text="⚠ PTE POR CONFIRMAR">
      <formula>NOT(ISERROR(SEARCH(("⚠ PTE POR CONFIRMAR"),(N2))))</formula>
    </cfRule>
    <cfRule type="containsText" dxfId="162" priority="101" operator="containsText" text="TRANSFERIDO">
      <formula>NOT(ISERROR(SEARCH(("TRANSFERIDO"),(N2))))</formula>
    </cfRule>
    <cfRule type="containsText" dxfId="161" priority="102" operator="containsText" text="LEÍDO">
      <formula>NOT(ISERROR(SEARCH(("LEÍDO"),(N2))))</formula>
    </cfRule>
    <cfRule type="containsText" dxfId="160" priority="103" operator="containsText" text="ABIERTO">
      <formula>NOT(ISERROR(SEARCH(("ABIERTO"),(N2))))</formula>
    </cfRule>
    <cfRule type="containsText" dxfId="159" priority="104" operator="containsText" text="CERRADO">
      <formula>NOT(ISERROR(SEARCH(("CERRADO"),(N2))))</formula>
    </cfRule>
    <cfRule type="containsText" dxfId="158" priority="105" operator="containsText" text="Trabajando">
      <formula>NOT(ISERROR(SEARCH("Trabajando",N2)))</formula>
    </cfRule>
    <cfRule type="containsText" dxfId="157" priority="106" operator="containsText" text="Confirmado">
      <formula>NOT(ISERROR(SEARCH("Confirmado",N2)))</formula>
    </cfRule>
    <cfRule type="containsText" dxfId="156" priority="107" operator="containsText" text="Solicitado">
      <formula>NOT(ISERROR(SEARCH("Solicitado",N2)))</formula>
    </cfRule>
    <cfRule type="containsText" dxfId="155" priority="108" operator="containsText" text="⚠ PTE POR CONFIRMAR">
      <formula>NOT(ISERROR(SEARCH(("⚠ PTE POR CONFIRMAR"),(N2))))</formula>
    </cfRule>
    <cfRule type="containsText" dxfId="154" priority="109" operator="containsText" text="TRANSFERIDO">
      <formula>NOT(ISERROR(SEARCH(("TRANSFERIDO"),(N2))))</formula>
    </cfRule>
    <cfRule type="containsText" dxfId="153" priority="110" operator="containsText" text="LEÍDO">
      <formula>NOT(ISERROR(SEARCH(("LEÍDO"),(N2))))</formula>
    </cfRule>
    <cfRule type="containsText" dxfId="152" priority="111" operator="containsText" text="ABIERTO">
      <formula>NOT(ISERROR(SEARCH(("ABIERTO"),(N2))))</formula>
    </cfRule>
    <cfRule type="containsText" dxfId="151" priority="112" operator="containsText" text="CERRADO">
      <formula>NOT(ISERROR(SEARCH(("CERRADO"),(N2))))</formula>
    </cfRule>
    <cfRule type="containsText" dxfId="150" priority="113" operator="containsText" text="Trabajando">
      <formula>NOT(ISERROR(SEARCH("Trabajando",N2)))</formula>
    </cfRule>
    <cfRule type="containsText" dxfId="149" priority="114" operator="containsText" text="Confirmado">
      <formula>NOT(ISERROR(SEARCH("Confirmado",N2)))</formula>
    </cfRule>
    <cfRule type="containsText" dxfId="148" priority="115" operator="containsText" text="Solicitado">
      <formula>NOT(ISERROR(SEARCH("Solicitado",N2)))</formula>
    </cfRule>
    <cfRule type="containsText" dxfId="147" priority="116" operator="containsText" text="⚠ PTE POR CONFIRMAR">
      <formula>NOT(ISERROR(SEARCH(("⚠ PTE POR CONFIRMAR"),(N2))))</formula>
    </cfRule>
    <cfRule type="containsText" dxfId="146" priority="117" operator="containsText" text="TRANSFERIDO">
      <formula>NOT(ISERROR(SEARCH(("TRANSFERIDO"),(N2))))</formula>
    </cfRule>
    <cfRule type="containsText" dxfId="145" priority="118" operator="containsText" text="LEÍDO">
      <formula>NOT(ISERROR(SEARCH(("LEÍDO"),(N2))))</formula>
    </cfRule>
    <cfRule type="containsText" dxfId="144" priority="119" operator="containsText" text="ABIERTO">
      <formula>NOT(ISERROR(SEARCH(("ABIERTO"),(N2))))</formula>
    </cfRule>
    <cfRule type="containsText" dxfId="143" priority="120" operator="containsText" text="CERRADO">
      <formula>NOT(ISERROR(SEARCH(("CERRADO"),(N2))))</formula>
    </cfRule>
    <cfRule type="containsText" dxfId="142" priority="121" operator="containsText" text="Trabajando">
      <formula>NOT(ISERROR(SEARCH("Trabajando",N2)))</formula>
    </cfRule>
    <cfRule type="containsText" dxfId="141" priority="122" operator="containsText" text="Confirmado">
      <formula>NOT(ISERROR(SEARCH("Confirmado",N2)))</formula>
    </cfRule>
    <cfRule type="containsText" dxfId="140" priority="123" operator="containsText" text="Solicitado">
      <formula>NOT(ISERROR(SEARCH("Solicitado",N2)))</formula>
    </cfRule>
    <cfRule type="containsText" dxfId="139" priority="124" operator="containsText" text="⚠ PTE POR CONFIRMAR">
      <formula>NOT(ISERROR(SEARCH(("⚠ PTE POR CONFIRMAR"),(N2))))</formula>
    </cfRule>
    <cfRule type="containsText" dxfId="138" priority="125" operator="containsText" text="TRANSFERIDO">
      <formula>NOT(ISERROR(SEARCH(("TRANSFERIDO"),(N2))))</formula>
    </cfRule>
    <cfRule type="containsText" dxfId="137" priority="126" operator="containsText" text="LEÍDO">
      <formula>NOT(ISERROR(SEARCH(("LEÍDO"),(N2))))</formula>
    </cfRule>
    <cfRule type="containsText" dxfId="136" priority="127" operator="containsText" text="ABIERTO">
      <formula>NOT(ISERROR(SEARCH(("ABIERTO"),(N2))))</formula>
    </cfRule>
    <cfRule type="containsText" dxfId="135" priority="128" operator="containsText" text="CERRADO">
      <formula>NOT(ISERROR(SEARCH(("CERRADO"),(N2))))</formula>
    </cfRule>
    <cfRule type="containsText" dxfId="134" priority="129" operator="containsText" text="Trabajando">
      <formula>NOT(ISERROR(SEARCH("Trabajando",N2)))</formula>
    </cfRule>
    <cfRule type="containsText" dxfId="133" priority="130" operator="containsText" text="Confirmado">
      <formula>NOT(ISERROR(SEARCH("Confirmado",N2)))</formula>
    </cfRule>
    <cfRule type="containsText" dxfId="132" priority="131" operator="containsText" text="Solicitado">
      <formula>NOT(ISERROR(SEARCH("Solicitado",N2)))</formula>
    </cfRule>
    <cfRule type="containsText" dxfId="131" priority="132" operator="containsText" text="⚠ PTE POR CONFIRMAR">
      <formula>NOT(ISERROR(SEARCH(("⚠ PTE POR CONFIRMAR"),(N2))))</formula>
    </cfRule>
    <cfRule type="containsText" dxfId="130" priority="133" operator="containsText" text="TRANSFERIDO">
      <formula>NOT(ISERROR(SEARCH(("TRANSFERIDO"),(N2))))</formula>
    </cfRule>
    <cfRule type="containsText" dxfId="129" priority="134" operator="containsText" text="LEÍDO">
      <formula>NOT(ISERROR(SEARCH(("LEÍDO"),(N2))))</formula>
    </cfRule>
    <cfRule type="containsText" dxfId="128" priority="135" operator="containsText" text="ABIERTO">
      <formula>NOT(ISERROR(SEARCH(("ABIERTO"),(N2))))</formula>
    </cfRule>
    <cfRule type="containsText" dxfId="127" priority="136" operator="containsText" text="CERRADO">
      <formula>NOT(ISERROR(SEARCH(("CERRADO"),(N2))))</formula>
    </cfRule>
    <cfRule type="containsText" dxfId="126" priority="137" operator="containsText" text="Trabajando">
      <formula>NOT(ISERROR(SEARCH("Trabajando",N2)))</formula>
    </cfRule>
    <cfRule type="containsText" dxfId="125" priority="138" operator="containsText" text="Confirmado">
      <formula>NOT(ISERROR(SEARCH("Confirmado",N2)))</formula>
    </cfRule>
    <cfRule type="containsText" dxfId="124" priority="139" operator="containsText" text="Solicitado">
      <formula>NOT(ISERROR(SEARCH("Solicitado",N2)))</formula>
    </cfRule>
    <cfRule type="containsText" dxfId="123" priority="140" operator="containsText" text="⚠ PTE POR CONFIRMAR">
      <formula>NOT(ISERROR(SEARCH(("⚠ PTE POR CONFIRMAR"),(N2))))</formula>
    </cfRule>
    <cfRule type="containsText" dxfId="122" priority="141" operator="containsText" text="TRANSFERIDO">
      <formula>NOT(ISERROR(SEARCH(("TRANSFERIDO"),(N2))))</formula>
    </cfRule>
    <cfRule type="containsText" dxfId="121" priority="142" operator="containsText" text="LEÍDO">
      <formula>NOT(ISERROR(SEARCH(("LEÍDO"),(N2))))</formula>
    </cfRule>
    <cfRule type="containsText" dxfId="120" priority="143" operator="containsText" text="ABIERTO">
      <formula>NOT(ISERROR(SEARCH(("ABIERTO"),(N2))))</formula>
    </cfRule>
    <cfRule type="containsText" dxfId="119" priority="144" operator="containsText" text="CERRADO">
      <formula>NOT(ISERROR(SEARCH(("CERRADO"),(N2))))</formula>
    </cfRule>
    <cfRule type="containsText" dxfId="118" priority="145" operator="containsText" text="Trabajando">
      <formula>NOT(ISERROR(SEARCH("Trabajando",N2)))</formula>
    </cfRule>
    <cfRule type="containsText" dxfId="117" priority="146" operator="containsText" text="Confirmado">
      <formula>NOT(ISERROR(SEARCH("Confirmado",N2)))</formula>
    </cfRule>
    <cfRule type="containsText" dxfId="116" priority="147" operator="containsText" text="Solicitado">
      <formula>NOT(ISERROR(SEARCH("Solicitado",N2)))</formula>
    </cfRule>
    <cfRule type="containsText" dxfId="115" priority="148" operator="containsText" text="⚠ PTE POR CONFIRMAR">
      <formula>NOT(ISERROR(SEARCH(("⚠ PTE POR CONFIRMAR"),(N2))))</formula>
    </cfRule>
    <cfRule type="containsText" dxfId="114" priority="149" operator="containsText" text="TRANSFERIDO">
      <formula>NOT(ISERROR(SEARCH(("TRANSFERIDO"),(N2))))</formula>
    </cfRule>
    <cfRule type="containsText" dxfId="113" priority="150" operator="containsText" text="LEÍDO">
      <formula>NOT(ISERROR(SEARCH(("LEÍDO"),(N2))))</formula>
    </cfRule>
    <cfRule type="containsText" dxfId="112" priority="151" operator="containsText" text="ABIERTO">
      <formula>NOT(ISERROR(SEARCH(("ABIERTO"),(N2))))</formula>
    </cfRule>
    <cfRule type="containsText" dxfId="111" priority="152" operator="containsText" text="CERRADO">
      <formula>NOT(ISERROR(SEARCH(("CERRADO"),(N2))))</formula>
    </cfRule>
    <cfRule type="containsText" dxfId="110" priority="153" operator="containsText" text="Trabajando">
      <formula>NOT(ISERROR(SEARCH("Trabajando",N2)))</formula>
    </cfRule>
    <cfRule type="containsText" dxfId="109" priority="154" operator="containsText" text="Confirmado">
      <formula>NOT(ISERROR(SEARCH("Confirmado",N2)))</formula>
    </cfRule>
    <cfRule type="containsText" dxfId="108" priority="155" operator="containsText" text="Solicitado">
      <formula>NOT(ISERROR(SEARCH("Solicitado",N2)))</formula>
    </cfRule>
    <cfRule type="containsText" dxfId="107" priority="156" operator="containsText" text="⚠ PTE POR CONFIRMAR">
      <formula>NOT(ISERROR(SEARCH(("⚠ PTE POR CONFIRMAR"),(N2))))</formula>
    </cfRule>
    <cfRule type="containsText" dxfId="106" priority="157" operator="containsText" text="TRANSFERIDO">
      <formula>NOT(ISERROR(SEARCH(("TRANSFERIDO"),(N2))))</formula>
    </cfRule>
    <cfRule type="containsText" dxfId="105" priority="158" operator="containsText" text="LEÍDO">
      <formula>NOT(ISERROR(SEARCH(("LEÍDO"),(N2))))</formula>
    </cfRule>
    <cfRule type="containsText" dxfId="104" priority="159" operator="containsText" text="ABIERTO">
      <formula>NOT(ISERROR(SEARCH(("ABIERTO"),(N2))))</formula>
    </cfRule>
    <cfRule type="containsText" dxfId="103" priority="160" operator="containsText" text="CERRADO">
      <formula>NOT(ISERROR(SEARCH(("CERRADO"),(N2))))</formula>
    </cfRule>
    <cfRule type="containsText" dxfId="102" priority="161" operator="containsText" text="Trabajando">
      <formula>NOT(ISERROR(SEARCH("Trabajando",N2)))</formula>
    </cfRule>
    <cfRule type="containsText" dxfId="101" priority="162" operator="containsText" text="Confirmado">
      <formula>NOT(ISERROR(SEARCH("Confirmado",N2)))</formula>
    </cfRule>
    <cfRule type="containsText" dxfId="100" priority="163" operator="containsText" text="Solicitado">
      <formula>NOT(ISERROR(SEARCH("Solicitado",N2)))</formula>
    </cfRule>
    <cfRule type="containsText" dxfId="99" priority="164" operator="containsText" text="⚠ PTE POR CONFIRMAR">
      <formula>NOT(ISERROR(SEARCH(("⚠ PTE POR CONFIRMAR"),(N2))))</formula>
    </cfRule>
    <cfRule type="containsText" dxfId="98" priority="165" operator="containsText" text="TRANSFERIDO">
      <formula>NOT(ISERROR(SEARCH(("TRANSFERIDO"),(N2))))</formula>
    </cfRule>
    <cfRule type="containsText" dxfId="97" priority="166" operator="containsText" text="LEÍDO">
      <formula>NOT(ISERROR(SEARCH(("LEÍDO"),(N2))))</formula>
    </cfRule>
    <cfRule type="containsText" dxfId="96" priority="167" operator="containsText" text="ABIERTO">
      <formula>NOT(ISERROR(SEARCH(("ABIERTO"),(N2))))</formula>
    </cfRule>
    <cfRule type="containsText" dxfId="95" priority="168" operator="containsText" text="CERRADO">
      <formula>NOT(ISERROR(SEARCH(("CERRADO"),(N2))))</formula>
    </cfRule>
    <cfRule type="containsText" dxfId="94" priority="169" operator="containsText" text="Trabajando">
      <formula>NOT(ISERROR(SEARCH("Trabajando",N2)))</formula>
    </cfRule>
    <cfRule type="containsText" dxfId="93" priority="170" operator="containsText" text="Confirmado">
      <formula>NOT(ISERROR(SEARCH("Confirmado",N2)))</formula>
    </cfRule>
    <cfRule type="containsText" dxfId="92" priority="171" operator="containsText" text="Solicitado">
      <formula>NOT(ISERROR(SEARCH("Solicitado",N2)))</formula>
    </cfRule>
    <cfRule type="containsText" dxfId="91" priority="172" operator="containsText" text="⚠ PTE POR CONFIRMAR">
      <formula>NOT(ISERROR(SEARCH(("⚠ PTE POR CONFIRMAR"),(N2))))</formula>
    </cfRule>
    <cfRule type="containsText" dxfId="90" priority="173" operator="containsText" text="TRANSFERIDO">
      <formula>NOT(ISERROR(SEARCH(("TRANSFERIDO"),(N2))))</formula>
    </cfRule>
    <cfRule type="containsText" dxfId="89" priority="174" operator="containsText" text="LEÍDO">
      <formula>NOT(ISERROR(SEARCH(("LEÍDO"),(N2))))</formula>
    </cfRule>
    <cfRule type="containsText" dxfId="88" priority="175" operator="containsText" text="ABIERTO">
      <formula>NOT(ISERROR(SEARCH(("ABIERTO"),(N2))))</formula>
    </cfRule>
    <cfRule type="containsText" dxfId="87" priority="176" operator="containsText" text="CERRADO">
      <formula>NOT(ISERROR(SEARCH(("CERRADO"),(N2))))</formula>
    </cfRule>
    <cfRule type="containsText" dxfId="86" priority="177" operator="containsText" text="Trabajando">
      <formula>NOT(ISERROR(SEARCH("Trabajando",N2)))</formula>
    </cfRule>
    <cfRule type="containsText" dxfId="85" priority="178" operator="containsText" text="Confirmado">
      <formula>NOT(ISERROR(SEARCH("Confirmado",N2)))</formula>
    </cfRule>
    <cfRule type="containsText" dxfId="84" priority="179" operator="containsText" text="Solicitado">
      <formula>NOT(ISERROR(SEARCH("Solicitado",N2)))</formula>
    </cfRule>
    <cfRule type="containsText" dxfId="83" priority="180" operator="containsText" text="⚠ PTE POR CONFIRMAR">
      <formula>NOT(ISERROR(SEARCH(("⚠ PTE POR CONFIRMAR"),(N2))))</formula>
    </cfRule>
    <cfRule type="containsText" dxfId="82" priority="181" operator="containsText" text="TRANSFERIDO">
      <formula>NOT(ISERROR(SEARCH(("TRANSFERIDO"),(N2))))</formula>
    </cfRule>
    <cfRule type="containsText" dxfId="81" priority="182" operator="containsText" text="LEÍDO">
      <formula>NOT(ISERROR(SEARCH(("LEÍDO"),(N2))))</formula>
    </cfRule>
    <cfRule type="containsText" dxfId="80" priority="183" operator="containsText" text="ABIERTO">
      <formula>NOT(ISERROR(SEARCH(("ABIERTO"),(N2))))</formula>
    </cfRule>
    <cfRule type="containsText" dxfId="79" priority="184" operator="containsText" text="CERRADO">
      <formula>NOT(ISERROR(SEARCH(("CERRADO"),(N2))))</formula>
    </cfRule>
  </conditionalFormatting>
  <conditionalFormatting sqref="O2:O161">
    <cfRule type="containsText" dxfId="78" priority="1583" operator="containsText" text="Trabajando">
      <formula>NOT(ISERROR(SEARCH("Trabajando",O2)))</formula>
    </cfRule>
    <cfRule type="containsText" dxfId="77" priority="4005" operator="containsText" text="Confirmado">
      <formula>NOT(ISERROR(SEARCH("Confirmado",O2)))</formula>
    </cfRule>
    <cfRule type="containsText" dxfId="76" priority="4006" operator="containsText" text="Solicitado">
      <formula>NOT(ISERROR(SEARCH("Solicitado",O2)))</formula>
    </cfRule>
    <cfRule type="containsText" dxfId="75" priority="4007" operator="containsText" text="⚠ PTE POR CONFIRMAR">
      <formula>NOT(ISERROR(SEARCH(("⚠ PTE POR CONFIRMAR"),(O2))))</formula>
    </cfRule>
    <cfRule type="containsText" dxfId="74" priority="4008" operator="containsText" text="TRANSFERIDO">
      <formula>NOT(ISERROR(SEARCH(("TRANSFERIDO"),(O2))))</formula>
    </cfRule>
    <cfRule type="containsText" dxfId="73" priority="4009" operator="containsText" text="LEÍDO">
      <formula>NOT(ISERROR(SEARCH(("LEÍDO"),(O2))))</formula>
    </cfRule>
    <cfRule type="containsText" dxfId="72" priority="4010" operator="containsText" text="ABIERTO">
      <formula>NOT(ISERROR(SEARCH(("ABIERTO"),(O2))))</formula>
    </cfRule>
    <cfRule type="containsText" dxfId="71" priority="4011" operator="containsText" text="CERRADO">
      <formula>NOT(ISERROR(SEARCH(("CERRADO"),(O2))))</formula>
    </cfRule>
    <cfRule type="containsText" dxfId="70" priority="4014" operator="containsText" text="🔴 FUERA DE SERVICIO">
      <formula>NOT(ISERROR(SEARCH("🔴 FUERA DE SERVICIO",O2)))</formula>
    </cfRule>
    <cfRule type="containsText" dxfId="69" priority="4015" operator="containsText" text="🟡 EN ESPERA DE REPUESTO">
      <formula>NOT(ISERROR(SEARCH("🟡 EN ESPERA DE REPUESTO",O2)))</formula>
    </cfRule>
    <cfRule type="containsText" dxfId="68" priority="4016" operator="containsText" text="🟢 FUNCIONAL">
      <formula>NOT(ISERROR(SEARCH("🟢 FUNCIONAL",O2)))</formula>
    </cfRule>
  </conditionalFormatting>
  <conditionalFormatting sqref="R1:W161">
    <cfRule type="containsBlanks" dxfId="67" priority="280">
      <formula>LEN(TRIM(R1))=0</formula>
    </cfRule>
  </conditionalFormatting>
  <conditionalFormatting sqref="AC2:AC161">
    <cfRule type="containsText" dxfId="66" priority="1003" operator="containsText" text="PENDIENTE VISITA PROVEEDOR">
      <formula>NOT(ISERROR(SEARCH("PENDIENTE VISITA PROVEEDOR",AC2)))</formula>
    </cfRule>
    <cfRule type="containsText" dxfId="65" priority="1004" operator="containsText" text="En espera de repuesto">
      <formula>NOT(ISERROR(SEARCH("En espera de repuesto",AC2)))</formula>
    </cfRule>
    <cfRule type="containsText" dxfId="64" priority="1005" operator="containsText" text="Pendiente Cotizar">
      <formula>NOT(ISERROR(SEARCH("Pendiente Cotizar",AC2)))</formula>
    </cfRule>
    <cfRule type="containsText" dxfId="63" priority="1006" operator="containsText" text="Cerrado">
      <formula>NOT(ISERROR(SEARCH("Cerrado",AC2)))</formula>
    </cfRule>
  </conditionalFormatting>
  <dataValidations count="3">
    <dataValidation type="custom" allowBlank="1" showDropDown="1" showErrorMessage="1" sqref="P50 P2:P48 P52:P161" xr:uid="{00000000-0002-0000-0100-000003000000}">
      <formula1>OR(NOT(ISERROR(DATEVALUE(P2))), AND(ISNUMBER(P2), LEFT(CELL("format", P2))="D"))</formula1>
    </dataValidation>
    <dataValidation type="custom" allowBlank="1" showDropDown="1" sqref="AE2:AE161" xr:uid="{00000000-0002-0000-0100-000005000000}">
      <formula1>AND(ISNUMBER(AE2),(NOT(OR(NOT(ISERROR(DATEVALUE(AE2))), AND(ISNUMBER(AE2), LEFT(CELL("format", AE2))="D")))))</formula1>
    </dataValidation>
    <dataValidation type="custom" allowBlank="1" showDropDown="1" sqref="AD2:AD161 R2:R161 U2:U161" xr:uid="{00000000-0002-0000-0100-00000C000000}">
      <formula1>OR(TIMEVALUE(TEXT(R2, "hh:mm:ss"))=R2, AND(ISNUMBER(R2), LEFT(CELL("format", R2))="D"))</formula1>
    </dataValidation>
  </dataValidations>
  <pageMargins left="0" right="0" top="0" bottom="0" header="0" footer="0"/>
  <tableParts count="1">
    <tablePart r:id="rId1"/>
  </tableParts>
  <extLst>
    <ext xmlns:x14="http://schemas.microsoft.com/office/spreadsheetml/2009/9/main" uri="{CCE6A557-97BC-4b89-ADB6-D9C93CAAB3DF}">
      <x14:dataValidations xmlns:xm="http://schemas.microsoft.com/office/excel/2006/main" count="12">
        <x14:dataValidation type="list" allowBlank="1" showErrorMessage="1" xr:uid="{2A2B58CA-FFC3-402E-96CF-60B028D85668}">
          <x14:formula1>
            <xm:f>GENERALIDADES!$P$2:$P$3</xm:f>
          </x14:formula1>
          <xm:sqref>Z2:Z161</xm:sqref>
        </x14:dataValidation>
        <x14:dataValidation type="list" allowBlank="1" xr:uid="{00000000-0002-0000-0100-000002000000}">
          <x14:formula1>
            <xm:f>GENERALIDADES!$M$2:$M$7</xm:f>
          </x14:formula1>
          <xm:sqref>L2:L161</xm:sqref>
        </x14:dataValidation>
        <x14:dataValidation type="list" allowBlank="1" showInputMessage="1" prompt="Haz clic e introduce un valor del intervalo" xr:uid="{5E4AADAD-3E60-40B1-914E-D69226A30C75}">
          <x14:formula1>
            <xm:f>GENERALIDADES!$H$2:$H$51</xm:f>
          </x14:formula1>
          <xm:sqref>C2:C161 D34:G34</xm:sqref>
        </x14:dataValidation>
        <x14:dataValidation type="list" allowBlank="1" showErrorMessage="1" xr:uid="{00000000-0002-0000-0100-000008000000}">
          <x14:formula1>
            <xm:f>GENERALIDADES!$G$2:$G$40</xm:f>
          </x14:formula1>
          <xm:sqref>H2:H161</xm:sqref>
        </x14:dataValidation>
        <x14:dataValidation type="list" allowBlank="1" xr:uid="{00000000-0002-0000-0100-000001000000}">
          <x14:formula1>
            <xm:f>GENERALIDADES!$K$2:$K$3</xm:f>
          </x14:formula1>
          <xm:sqref>V2:V161</xm:sqref>
        </x14:dataValidation>
        <x14:dataValidation type="list" allowBlank="1" xr:uid="{00000000-0002-0000-0100-000004000000}">
          <x14:formula1>
            <xm:f>GENERALIDADES!$I$2:$I$3</xm:f>
          </x14:formula1>
          <xm:sqref>S2:S161</xm:sqref>
        </x14:dataValidation>
        <x14:dataValidation type="list" allowBlank="1" xr:uid="{00000000-0002-0000-0100-000007000000}">
          <x14:formula1>
            <xm:f>GENERALIDADES!$L$2:$L$4</xm:f>
          </x14:formula1>
          <xm:sqref>W2:W161</xm:sqref>
        </x14:dataValidation>
        <x14:dataValidation type="list" allowBlank="1" xr:uid="{00000000-0002-0000-0100-00000A000000}">
          <x14:formula1>
            <xm:f>GENERALIDADES!$J$2:$J$4</xm:f>
          </x14:formula1>
          <xm:sqref>T2:T161</xm:sqref>
        </x14:dataValidation>
        <x14:dataValidation type="list" allowBlank="1" xr:uid="{00000000-0002-0000-0100-00000B000000}">
          <x14:formula1>
            <xm:f>GENERALIDADES!$C$2:$C$8</xm:f>
          </x14:formula1>
          <xm:sqref>AC2:AC161</xm:sqref>
        </x14:dataValidation>
        <x14:dataValidation type="list" allowBlank="1" showErrorMessage="1" xr:uid="{00000000-0002-0000-0100-000009000000}">
          <x14:formula1>
            <xm:f>GENERALIDADES!$B$2:$B$18</xm:f>
          </x14:formula1>
          <xm:sqref>Y2:Y161</xm:sqref>
        </x14:dataValidation>
        <x14:dataValidation type="list" allowBlank="1" xr:uid="{21E4FDB1-24DF-41DF-894E-F8D5714B7ED6}">
          <x14:formula1>
            <xm:f>GENERALIDADES!$O$2:$O$4</xm:f>
          </x14:formula1>
          <xm:sqref>O2:O161</xm:sqref>
        </x14:dataValidation>
        <x14:dataValidation type="list" allowBlank="1" xr:uid="{B8B2DF1D-DE67-415D-BA10-E1977895F91C}">
          <x14:formula1>
            <xm:f>GENERALIDADES!$N$2:$N$9</xm:f>
          </x14:formula1>
          <xm:sqref>N2:N161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USUARIO</dc:creator>
  <cp:keywords/>
  <dc:description/>
  <cp:lastModifiedBy/>
  <cp:revision/>
  <dcterms:created xsi:type="dcterms:W3CDTF">2025-03-13T13:48:57Z</dcterms:created>
  <dcterms:modified xsi:type="dcterms:W3CDTF">2026-04-02T20:35:54Z</dcterms:modified>
  <cp:category/>
  <cp:contentStatus/>
</cp:coreProperties>
</file>